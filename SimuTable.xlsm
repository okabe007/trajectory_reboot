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02" codeName="{6A26FB3C-EA34-E94E-B44F-155022A03E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mo_2022/GitHubLocal/"/>
    </mc:Choice>
  </mc:AlternateContent>
  <xr:revisionPtr revIDLastSave="0" documentId="13_ncr:1_{15640A17-E23B-3F42-937C-32F4CF337E5E}" xr6:coauthVersionLast="47" xr6:coauthVersionMax="47" xr10:uidLastSave="{00000000-0000-0000-0000-000000000000}"/>
  <bookViews>
    <workbookView xWindow="2940" yWindow="1400" windowWidth="21720" windowHeight="14260" activeTab="2" xr2:uid="{00000000-000D-0000-FFFF-FFFF00000000}"/>
  </bookViews>
  <sheets>
    <sheet name="variables" sheetId="1" r:id="rId1"/>
    <sheet name="new2" sheetId="2" r:id="rId2"/>
    <sheet name="new" sheetId="3" r:id="rId3"/>
    <sheet name="param" sheetId="9" r:id="rId4"/>
    <sheet name="CEROS" sheetId="4" r:id="rId5"/>
    <sheet name="data_log" sheetId="5" r:id="rId6"/>
    <sheet name="values" sheetId="6" r:id="rId7"/>
    <sheet name="Sheet1" sheetId="7" r:id="rId8"/>
    <sheet name="inintial_vec" sheetId="8" r:id="rId9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8" i="3" l="1"/>
  <c r="H6" i="3"/>
  <c r="C23" i="1" s="1"/>
  <c r="E10" i="3"/>
  <c r="C19" i="1" s="1"/>
  <c r="B23" i="3"/>
  <c r="B17" i="3"/>
  <c r="B16" i="8"/>
  <c r="C13" i="8"/>
  <c r="B13" i="8"/>
  <c r="J8" i="8"/>
  <c r="I8" i="8"/>
  <c r="H8" i="8"/>
  <c r="G8" i="8"/>
  <c r="F8" i="8"/>
  <c r="G6" i="8"/>
  <c r="H6" i="8" s="1"/>
  <c r="I6" i="8" s="1"/>
  <c r="J6" i="8" s="1"/>
  <c r="K6" i="8" s="1"/>
  <c r="L6" i="8" s="1"/>
  <c r="M6" i="8" s="1"/>
  <c r="F11" i="7"/>
  <c r="D7" i="7"/>
  <c r="B6" i="7"/>
  <c r="E3" i="7"/>
  <c r="D3" i="7"/>
  <c r="C3" i="7"/>
  <c r="B3" i="7"/>
  <c r="C29" i="6"/>
  <c r="C28" i="6"/>
  <c r="C27" i="6"/>
  <c r="C26" i="6"/>
  <c r="C25" i="6"/>
  <c r="C24" i="6"/>
  <c r="G24" i="4"/>
  <c r="G23" i="4"/>
  <c r="G22" i="4"/>
  <c r="H17" i="4"/>
  <c r="B17" i="4"/>
  <c r="E17" i="4" s="1"/>
  <c r="E16" i="4"/>
  <c r="B16" i="4"/>
  <c r="K15" i="4"/>
  <c r="F13" i="4"/>
  <c r="F12" i="4"/>
  <c r="F11" i="4"/>
  <c r="K8" i="4"/>
  <c r="J6" i="4"/>
  <c r="J5" i="4"/>
  <c r="H5" i="4"/>
  <c r="E3" i="4"/>
  <c r="D1" i="4"/>
  <c r="G25" i="3"/>
  <c r="G24" i="3"/>
  <c r="G23" i="3"/>
  <c r="B22" i="3"/>
  <c r="E21" i="3"/>
  <c r="H18" i="3"/>
  <c r="B18" i="3"/>
  <c r="E17" i="3"/>
  <c r="K16" i="3"/>
  <c r="F14" i="3"/>
  <c r="F13" i="3"/>
  <c r="F12" i="3"/>
  <c r="K9" i="3"/>
  <c r="H8" i="3"/>
  <c r="B19" i="3" s="1"/>
  <c r="B21" i="3" s="1"/>
  <c r="J6" i="3"/>
  <c r="J7" i="3" s="1"/>
  <c r="M3" i="3"/>
  <c r="E3" i="3"/>
  <c r="B31" i="2"/>
  <c r="C30" i="2"/>
  <c r="C31" i="2" s="1"/>
  <c r="B30" i="2"/>
  <c r="C29" i="2"/>
  <c r="B29" i="2"/>
  <c r="C28" i="2"/>
  <c r="B28" i="2"/>
  <c r="B27" i="2"/>
  <c r="C26" i="2"/>
  <c r="C27" i="2" s="1"/>
  <c r="B26" i="2"/>
  <c r="B20" i="2"/>
  <c r="B18" i="2"/>
  <c r="B17" i="2"/>
  <c r="B15" i="2"/>
  <c r="B11" i="2"/>
  <c r="A4" i="2" s="1"/>
  <c r="D4" i="2"/>
  <c r="D2" i="2"/>
  <c r="H63" i="1"/>
  <c r="F57" i="1"/>
  <c r="E57" i="1" s="1"/>
  <c r="F56" i="1"/>
  <c r="E56" i="1"/>
  <c r="B54" i="1"/>
  <c r="D53" i="1"/>
  <c r="C24" i="1"/>
  <c r="C20" i="1"/>
  <c r="C17" i="1"/>
  <c r="C15" i="1"/>
  <c r="C14" i="1"/>
  <c r="C13" i="1"/>
  <c r="C10" i="1"/>
  <c r="C9" i="1"/>
  <c r="C8" i="1"/>
  <c r="C7" i="1"/>
  <c r="L5" i="1"/>
  <c r="C5" i="1"/>
  <c r="C4" i="1"/>
  <c r="C3" i="1"/>
  <c r="C2" i="1"/>
  <c r="F12" i="1" s="1"/>
  <c r="C1" i="1"/>
  <c r="E18" i="3" l="1"/>
  <c r="C11" i="1"/>
  <c r="E6" i="1"/>
  <c r="D12" i="1"/>
  <c r="C6" i="1"/>
  <c r="B20" i="3"/>
  <c r="M9" i="3" s="1"/>
  <c r="M8" i="3"/>
  <c r="D6" i="7"/>
  <c r="E6" i="7" s="1"/>
  <c r="D11" i="1" l="1"/>
  <c r="E19" i="3"/>
  <c r="E22" i="3"/>
  <c r="M7" i="3"/>
  <c r="M5" i="3"/>
  <c r="M6" i="3"/>
  <c r="M4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Masaru Okabe</author>
  </authors>
  <commentList>
    <comment ref="B20" authorId="0" shapeId="0" xr:uid="{00000000-0006-0000-0000-000001000000}">
      <text/>
    </comment>
  </commentList>
</comments>
</file>

<file path=xl/sharedStrings.xml><?xml version="1.0" encoding="utf-8"?>
<sst xmlns="http://schemas.openxmlformats.org/spreadsheetml/2006/main" count="485" uniqueCount="268">
  <si>
    <t>type of analysis</t>
  </si>
  <si>
    <t>various_shapes</t>
  </si>
  <si>
    <t>various_deviations</t>
  </si>
  <si>
    <t>various_volumes</t>
  </si>
  <si>
    <t>single_simulation</t>
  </si>
  <si>
    <t>3x_simulations</t>
  </si>
  <si>
    <t>6x_simulations</t>
  </si>
  <si>
    <t>10x_simulations</t>
  </si>
  <si>
    <t>20x_simulations</t>
  </si>
  <si>
    <t>variously_localized_eggs</t>
  </si>
  <si>
    <t>various_resolutions</t>
  </si>
  <si>
    <t>shape of medium</t>
  </si>
  <si>
    <t>cube</t>
  </si>
  <si>
    <t>spot</t>
  </si>
  <si>
    <t>drop</t>
  </si>
  <si>
    <t>CEROS</t>
  </si>
  <si>
    <t>localization of eggs</t>
  </si>
  <si>
    <t>center</t>
  </si>
  <si>
    <t>bottom_center</t>
  </si>
  <si>
    <t>bottom_medium</t>
  </si>
  <si>
    <t>bottom_edge</t>
  </si>
  <si>
    <t>volume of medium (μl）</t>
  </si>
  <si>
    <t>sperm / ml</t>
  </si>
  <si>
    <t>no. of sperm to simulate</t>
  </si>
  <si>
    <t>VSL (straight length μm/sec)</t>
  </si>
  <si>
    <t>deviation</t>
  </si>
  <si>
    <t>simulation period (min)</t>
  </si>
  <si>
    <t>resolution (sec)</t>
  </si>
  <si>
    <t>total trajectory path</t>
  </si>
  <si>
    <t>set initial vector</t>
  </si>
  <si>
    <t>random</t>
  </si>
  <si>
    <t>egg radial (mm)</t>
  </si>
  <si>
    <t>graph</t>
  </si>
  <si>
    <t>yes</t>
  </si>
  <si>
    <t>no</t>
  </si>
  <si>
    <t>3D graph (0=no, 1=yes)</t>
  </si>
  <si>
    <t>Slicing the graph</t>
  </si>
  <si>
    <t>seed number</t>
  </si>
  <si>
    <t>limit_angle</t>
  </si>
  <si>
    <t>stop step for bug search</t>
  </si>
  <si>
    <t>elasticic collision ratio</t>
  </si>
  <si>
    <t>List of 27 colors</t>
  </si>
  <si>
    <t>coral</t>
  </si>
  <si>
    <t>lime</t>
  </si>
  <si>
    <t>grey</t>
  </si>
  <si>
    <t>darkorchid</t>
  </si>
  <si>
    <t>indianred</t>
  </si>
  <si>
    <t>purple</t>
  </si>
  <si>
    <t>silver</t>
  </si>
  <si>
    <t>rosybrown</t>
  </si>
  <si>
    <t>firebrick</t>
  </si>
  <si>
    <t>darksalmon</t>
  </si>
  <si>
    <t>sienna</t>
  </si>
  <si>
    <t>sandybrown</t>
  </si>
  <si>
    <t>magenta</t>
  </si>
  <si>
    <t>gold</t>
  </si>
  <si>
    <t>darkkhaki</t>
  </si>
  <si>
    <t>olivedrab</t>
  </si>
  <si>
    <t>chartreuse</t>
  </si>
  <si>
    <t>mediumspringgreen</t>
  </si>
  <si>
    <t>paleturquoise</t>
  </si>
  <si>
    <t>royalblue</t>
  </si>
  <si>
    <t>mediumpurple</t>
  </si>
  <si>
    <t>plum</t>
  </si>
  <si>
    <t>palevioletred</t>
  </si>
  <si>
    <t>yellow</t>
  </si>
  <si>
    <t>stick_surface (times to stick to the surface)</t>
  </si>
  <si>
    <t>球欠を仰ぐ角　θ</t>
  </si>
  <si>
    <t>Test mode</t>
  </si>
  <si>
    <t>on</t>
  </si>
  <si>
    <t>off</t>
  </si>
  <si>
    <t>patches.Circle(xy=(0,0), radius=egg_R, ec='pink', fill=False)</t>
  </si>
  <si>
    <t>ax1.set_xlim( 0,1)</t>
  </si>
  <si>
    <t>ax1.set_ylim( 0,1)</t>
  </si>
  <si>
    <t>Limit angle</t>
  </si>
  <si>
    <t xml:space="preserve">For the meaning of the angle, please refer to Fig.a </t>
  </si>
  <si>
    <t>x</t>
  </si>
  <si>
    <t>y</t>
  </si>
  <si>
    <t>z</t>
  </si>
  <si>
    <t>PA</t>
  </si>
  <si>
    <t>🌈　Draw PA [0.5        0.49464611 0.4951675 ]</t>
  </si>
  <si>
    <t>PB</t>
  </si>
  <si>
    <t>🌈　Draw AB [0.00000000e+00 5.35389092e-03 5.56984320e-05] 0.0053541806359821646</t>
  </si>
  <si>
    <t>spot bottom</t>
  </si>
  <si>
    <t>🌈　Draw PB [0.5        0.5        0.49522319]</t>
  </si>
  <si>
    <t>drop top</t>
  </si>
  <si>
    <t>R[3]=</t>
  </si>
  <si>
    <t>-0.749  0.779  0.912] [0.005 0.006 0.   ] [-0.745  0.784  0.912]</t>
  </si>
  <si>
    <t>[-0.749  0.779  0.912] [0.005 0.006 0.   ] [-0.745  0.784  0.912]</t>
  </si>
  <si>
    <t>normAB, Average 0.007352141725979544 0.13683723221448862</t>
  </si>
  <si>
    <t>🔴 AB_next [0.03889942 0.04475707 0.00087819]</t>
  </si>
  <si>
    <t>answer -3.94390144998157 0.0</t>
  </si>
  <si>
    <t>analysis type</t>
  </si>
  <si>
    <t>shape</t>
  </si>
  <si>
    <t>side if cube</t>
  </si>
  <si>
    <t>spot angle</t>
  </si>
  <si>
    <t>limit angle</t>
  </si>
  <si>
    <t>radius if drop</t>
  </si>
  <si>
    <t>reflection_analysis</t>
  </si>
  <si>
    <t>conc. n/ml</t>
  </si>
  <si>
    <t>make movie</t>
  </si>
  <si>
    <t>mov start point</t>
  </si>
  <si>
    <t>draw trajectory</t>
  </si>
  <si>
    <t>mov end point</t>
  </si>
  <si>
    <t>length_of_simulation
(min)</t>
  </si>
  <si>
    <t>sperm number</t>
  </si>
  <si>
    <t>interuption</t>
  </si>
  <si>
    <t>VSL_per_sec</t>
  </si>
  <si>
    <t>resolution</t>
  </si>
  <si>
    <t>VSL</t>
  </si>
  <si>
    <t>path/sperm</t>
  </si>
  <si>
    <t>total calc path</t>
  </si>
  <si>
    <t>retention_sec ( avoid 0)</t>
  </si>
  <si>
    <t>times on surface</t>
  </si>
  <si>
    <t>COC radius</t>
  </si>
  <si>
    <t>ZP radius</t>
  </si>
  <si>
    <t>egg localization</t>
  </si>
  <si>
    <t>Cube</t>
  </si>
  <si>
    <t>Xmax</t>
  </si>
  <si>
    <t>Xmin</t>
  </si>
  <si>
    <t>Ymax</t>
  </si>
  <si>
    <t>Ymin</t>
  </si>
  <si>
    <t>Zmax</t>
  </si>
  <si>
    <t>Zmin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</si>
  <si>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</si>
  <si>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</si>
  <si>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</si>
  <si>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</si>
  <si>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</si>
  <si>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</si>
  <si>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</si>
  <si>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</si>
  <si>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</si>
  <si>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</si>
  <si>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</si>
  <si>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</si>
  <si>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</si>
  <si>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</si>
  <si>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</si>
  <si>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Analysis type</t>
  </si>
  <si>
    <t>shape0-6: 0:none, 1:cube, 2:none,  3:spot, 4:drop, 5:CEROS, 6:various_shapes</t>
  </si>
  <si>
    <t>reflecting steps</t>
  </si>
  <si>
    <t>reflection_check</t>
  </si>
  <si>
    <t>initial direction/position</t>
  </si>
  <si>
    <t>left</t>
  </si>
  <si>
    <t>shape_list</t>
  </si>
  <si>
    <t>CEROSの場合2μで6.3mm四方に広がる</t>
  </si>
  <si>
    <t>min simulation</t>
  </si>
  <si>
    <t>VSLori</t>
  </si>
  <si>
    <t>VSL_per_move</t>
  </si>
  <si>
    <t>angle_for_spot (radian)</t>
  </si>
  <si>
    <t>Other values</t>
  </si>
  <si>
    <t>initial vector→</t>
  </si>
  <si>
    <t>drop/cube NSEWUD</t>
  </si>
  <si>
    <t>spotNSEW</t>
  </si>
  <si>
    <t>spot UD</t>
  </si>
  <si>
    <t>Calculated values</t>
  </si>
  <si>
    <t>spot_whole_R</t>
  </si>
  <si>
    <t>spot_bottom_height</t>
  </si>
  <si>
    <t>spot_bottom_R</t>
  </si>
  <si>
    <t>drop_R</t>
  </si>
  <si>
    <t>Major values</t>
  </si>
  <si>
    <t>[1,3,4]</t>
  </si>
  <si>
    <t>CEROSの場合４μで6.3mm四方に広がる</t>
  </si>
  <si>
    <t>surface retention time</t>
  </si>
  <si>
    <t>surf retention</t>
  </si>
  <si>
    <t>various_dev_and_res</t>
  </si>
  <si>
    <t>Shapes</t>
  </si>
  <si>
    <t>Volume</t>
  </si>
  <si>
    <t>Sperm Conc n/ml</t>
  </si>
  <si>
    <t>0.05 0.1 0.2 0.40 0.8 1.60 3.2 6.40 12.8</t>
  </si>
  <si>
    <t xml:space="preserve">0.05 0.1 0.2 0.40 0.8 1.60 </t>
  </si>
  <si>
    <t>0.4 0.8</t>
  </si>
  <si>
    <t>simulation period</t>
  </si>
  <si>
    <t>egg  or COC  radius</t>
  </si>
  <si>
    <t>boundary retention time</t>
  </si>
  <si>
    <t>sperm colors</t>
  </si>
  <si>
    <t>blue</t>
  </si>
  <si>
    <t>green</t>
  </si>
  <si>
    <t>darkgrey</t>
  </si>
  <si>
    <t>red</t>
  </si>
  <si>
    <t>Yes/No switch</t>
  </si>
  <si>
    <t>column</t>
  </si>
  <si>
    <t>dorp</t>
  </si>
  <si>
    <t>initial directions</t>
  </si>
  <si>
    <t>right</t>
  </si>
  <si>
    <t>top</t>
  </si>
  <si>
    <t>bottom</t>
  </si>
  <si>
    <t>front</t>
  </si>
  <si>
    <t>back</t>
  </si>
  <si>
    <t>temp_position</t>
  </si>
  <si>
    <t>base_position</t>
  </si>
  <si>
    <t>for reflection</t>
  </si>
  <si>
    <t>per sperm</t>
  </si>
  <si>
    <t>No. of sperm</t>
  </si>
  <si>
    <t>Total contact</t>
  </si>
  <si>
    <t>h=</t>
  </si>
  <si>
    <t>sr</t>
  </si>
  <si>
    <t>spot_R</t>
  </si>
  <si>
    <t>^2</t>
  </si>
  <si>
    <t>[0.48,0,0]</t>
    <phoneticPr fontId="1"/>
  </si>
  <si>
    <t>graph limit conc.</t>
    <phoneticPr fontId="1"/>
  </si>
  <si>
    <t>μL</t>
    <phoneticPr fontId="1"/>
  </si>
  <si>
    <t>draw trajectory</t>
    <phoneticPr fontId="1"/>
  </si>
  <si>
    <t>[0.58,0,0]</t>
    <phoneticPr fontId="1"/>
  </si>
  <si>
    <t>[0,0,0.48]</t>
    <phoneticPr fontId="1"/>
  </si>
  <si>
    <t>[0,0,0.58]</t>
    <phoneticPr fontId="1"/>
  </si>
  <si>
    <t>[0,-0.48,0]</t>
    <phoneticPr fontId="1"/>
  </si>
  <si>
    <t>[0,-0.58,0]</t>
    <phoneticPr fontId="1"/>
  </si>
  <si>
    <t>spot angle (deg)</t>
    <phoneticPr fontId="1"/>
  </si>
  <si>
    <t>bottom_corner</t>
    <phoneticPr fontId="1"/>
  </si>
  <si>
    <t>bottom_side</t>
    <phoneticPr fontId="1"/>
  </si>
  <si>
    <t>gamete_R</t>
    <phoneticPr fontId="1"/>
  </si>
  <si>
    <t>gamete_area</t>
    <phoneticPr fontId="1"/>
  </si>
  <si>
    <t>COC</t>
    <phoneticPr fontId="1"/>
  </si>
  <si>
    <t>egg</t>
    <phoneticPr fontId="1"/>
  </si>
  <si>
    <t>polygon</t>
    <phoneticPr fontId="1"/>
  </si>
  <si>
    <t>inner_angle</t>
    <phoneticPr fontId="1"/>
  </si>
  <si>
    <t>single_simulation</t>
    <phoneticPr fontId="1"/>
  </si>
  <si>
    <t>reflecting sperm no.</t>
    <phoneticPr fontId="1"/>
  </si>
  <si>
    <t>[0.59,0,0.005]</t>
    <phoneticPr fontId="1"/>
  </si>
  <si>
    <t>[0.6,0,0.005]</t>
    <phoneticPr fontId="1"/>
  </si>
  <si>
    <t>[0.35,0.005,0]</t>
    <phoneticPr fontId="1"/>
  </si>
  <si>
    <t>[0.45,0.005,0]</t>
    <phoneticPr fontId="1"/>
  </si>
  <si>
    <t>[-0.45,0.005,0.0]</t>
    <phoneticPr fontId="1"/>
  </si>
  <si>
    <t>[0.0,0.005,0.45]</t>
    <phoneticPr fontId="1"/>
  </si>
  <si>
    <t>[0,0.005,-0.45]</t>
    <phoneticPr fontId="1"/>
  </si>
  <si>
    <t>[0,0.005,-0.35]</t>
    <phoneticPr fontId="1"/>
  </si>
  <si>
    <t>[0,0.005,0.35]</t>
    <phoneticPr fontId="1"/>
  </si>
  <si>
    <t>[-0.35,0.005,0]</t>
    <phoneticPr fontId="1"/>
  </si>
  <si>
    <t>[0.005,-0.35,0]</t>
    <phoneticPr fontId="1"/>
  </si>
  <si>
    <t>[0.005,-0.45,0]</t>
    <phoneticPr fontId="1"/>
  </si>
  <si>
    <t>[0.005,0.35,0]</t>
    <phoneticPr fontId="1"/>
  </si>
  <si>
    <t>[0.005,0.45,0]</t>
    <phoneticPr fontId="1"/>
  </si>
  <si>
    <t>[0.6,0.005,0.58]</t>
    <phoneticPr fontId="1"/>
  </si>
  <si>
    <t>[0.7,0.005,0.58]</t>
    <phoneticPr fontId="1"/>
  </si>
  <si>
    <t>[-0.6,0.005,0.58]</t>
    <phoneticPr fontId="1"/>
  </si>
  <si>
    <t>[-0.7,0.005,0.58]</t>
    <phoneticPr fontId="1"/>
  </si>
  <si>
    <t>[0,0.005,0.77]</t>
    <phoneticPr fontId="1"/>
  </si>
  <si>
    <t>[0,0.005,0.81]</t>
    <phoneticPr fontId="1"/>
  </si>
  <si>
    <t>0.005,-0.6,0.58]</t>
    <phoneticPr fontId="1"/>
  </si>
  <si>
    <t>[0.005,-0.7,0.58]</t>
    <phoneticPr fontId="1"/>
  </si>
  <si>
    <t>0.005,0.6,0.58]</t>
    <phoneticPr fontId="1"/>
  </si>
  <si>
    <t>[0.005,0.7,0.58]</t>
    <phoneticPr fontId="1"/>
  </si>
  <si>
    <t>[-0.59,0,0.005]</t>
    <phoneticPr fontId="1"/>
  </si>
  <si>
    <t>[-0.6,0,0.005]</t>
    <phoneticPr fontId="1"/>
  </si>
  <si>
    <t>[0,0.005,0.59]</t>
    <phoneticPr fontId="1"/>
  </si>
  <si>
    <t>[0,0.005,0.60]</t>
    <phoneticPr fontId="1"/>
  </si>
  <si>
    <t>[0.005, -0.59,0]</t>
    <phoneticPr fontId="1"/>
  </si>
  <si>
    <t>[0.005,-0.60,0]</t>
    <phoneticPr fontId="1"/>
  </si>
  <si>
    <t>[0,0.59,0.005]</t>
    <phoneticPr fontId="1"/>
  </si>
  <si>
    <t>[0,0.60,0.005]</t>
    <phoneticPr fontId="1"/>
  </si>
  <si>
    <t>[0,0.005,-0.59]</t>
    <phoneticPr fontId="1"/>
  </si>
  <si>
    <t>[0,0.005,-0.60]</t>
    <phoneticPr fontId="1"/>
  </si>
  <si>
    <t>[0,0.005,1.15]</t>
    <phoneticPr fontId="1"/>
  </si>
  <si>
    <t>[0,0.005, 1.14]</t>
    <phoneticPr fontId="1"/>
  </si>
  <si>
    <t>[0.05,0.5,0.5]</t>
    <phoneticPr fontId="1"/>
  </si>
  <si>
    <t>[0,0.5,0.5]</t>
    <phoneticPr fontId="1"/>
  </si>
  <si>
    <t>initial_stick</t>
    <phoneticPr fontId="1"/>
  </si>
  <si>
    <t>no</t>
    <phoneticPr fontId="1"/>
  </si>
  <si>
    <t>seed number</t>
    <phoneticPr fontId="1"/>
  </si>
  <si>
    <t>sampling rate (Hz)</t>
    <phoneticPr fontId="1"/>
  </si>
  <si>
    <t>sampling_rate_Hz</t>
    <phoneticPr fontId="1"/>
  </si>
  <si>
    <t>N_repeat</t>
    <phoneticPr fontId="1"/>
  </si>
  <si>
    <t>None</t>
    <phoneticPr fontId="1"/>
  </si>
  <si>
    <t>None</t>
  </si>
  <si>
    <t>COC</t>
  </si>
  <si>
    <t>Limit over! Too many lines to draw. Reduce Sperm number or Simulation period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</si>
</sst>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#,##0_ "/>
    <numFmt numFmtId="177" formatCode="0.000_ "/>
    <numFmt numFmtId="178" formatCode="0.00_ "/>
    <numFmt numFmtId="179" formatCode="0_);[Red]\(0\)"/>
    <numFmt numFmtId="180" formatCode="0.00000000_);[Red]\(0.00000000\)"/>
    <numFmt numFmtId="181" formatCode="0.0"/>
    <numFmt numFmtId="182" formatCode="0_ "/>
    <numFmt numFmtId="183" formatCode="0.0000000000"/>
    <numFmt numFmtId="184" formatCode="#,##0.00_ "/>
    <numFmt numFmtId="185" formatCode="0.000"/>
    <numFmt numFmtId="186" formatCode="0.00_);[Red]\(0.00\)"/>
    <numFmt numFmtId="187" formatCode="[&lt;=999]000;[&lt;=9999]000\-00;000\-0000"/>
    <numFmt numFmtId="188" formatCode="0.0000_ "/>
  </numFmts>
  <fonts count="40">
    <font>
      <sz val="12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Avenir Next Regular"/>
    </font>
    <font>
      <sz val="12"/>
      <color theme="0" tint="-0.14999847407452621"/>
      <name val="Avenir Next Regular"/>
    </font>
    <font>
      <b/>
      <sz val="12"/>
      <color rgb="FFFF0000"/>
      <name val="Avenir Next Regular"/>
    </font>
    <font>
      <b/>
      <sz val="12"/>
      <color theme="0" tint="-0.14999847407452621"/>
      <name val="Avenir Next Regular"/>
    </font>
    <font>
      <sz val="12"/>
      <color rgb="FFFF0000"/>
      <name val="Arial Rounded MT Bold"/>
      <family val="2"/>
    </font>
    <font>
      <sz val="10"/>
      <color rgb="FF000000"/>
      <name val="游ゴシック"/>
      <family val="3"/>
      <charset val="128"/>
      <scheme val="minor"/>
    </font>
    <font>
      <b/>
      <sz val="18"/>
      <color rgb="FF0070C0"/>
      <name val="Avenir Next Regular"/>
    </font>
    <font>
      <sz val="12"/>
      <color theme="1"/>
      <name val="Avenir Next Demi Bold"/>
      <family val="2"/>
    </font>
    <font>
      <sz val="14"/>
      <color rgb="FF000000"/>
      <name val="Courier New"/>
      <family val="1"/>
    </font>
    <font>
      <b/>
      <sz val="12"/>
      <color theme="9" tint="-0.499984740745262"/>
      <name val="Avenir Next Regular"/>
    </font>
    <font>
      <b/>
      <sz val="18"/>
      <color theme="9" tint="-0.499984740745262"/>
      <name val="Avenir Next Regular"/>
    </font>
    <font>
      <sz val="14"/>
      <color rgb="FF000000"/>
      <name val="Courier"/>
      <family val="1"/>
    </font>
    <font>
      <sz val="14"/>
      <color rgb="FF000000"/>
      <name val="Courier New"/>
      <family val="2"/>
    </font>
    <font>
      <sz val="12"/>
      <color theme="1"/>
      <name val="游ゴシック"/>
      <family val="2"/>
      <charset val="128"/>
      <scheme val="minor"/>
    </font>
    <font>
      <sz val="12"/>
      <color theme="0" tint="-0.499984740745262"/>
      <name val="Avenir Next Regular"/>
    </font>
    <font>
      <sz val="12"/>
      <color theme="1"/>
      <name val="游ゴシック"/>
      <family val="3"/>
      <charset val="128"/>
      <scheme val="minor"/>
    </font>
    <font>
      <b/>
      <sz val="12"/>
      <color theme="0" tint="-0.249977111117893"/>
      <name val="Avenir Next Regular"/>
    </font>
    <font>
      <sz val="12"/>
      <color theme="0" tint="-0.249977111117893"/>
      <name val="Avenir Next Regular"/>
    </font>
    <font>
      <sz val="12"/>
      <name val="Avenir Next Regular"/>
    </font>
    <font>
      <sz val="12"/>
      <name val="游ゴシック"/>
      <family val="3"/>
      <charset val="128"/>
      <scheme val="minor"/>
    </font>
    <font>
      <b/>
      <sz val="20"/>
      <color theme="1"/>
      <name val="游ゴシック"/>
      <family val="3"/>
      <charset val="128"/>
      <scheme val="minor"/>
    </font>
    <font>
      <b/>
      <sz val="18"/>
      <color theme="1"/>
      <name val="游ゴシック"/>
      <family val="3"/>
      <charset val="128"/>
      <scheme val="minor"/>
    </font>
    <font>
      <b/>
      <sz val="20"/>
      <color rgb="FFFF0000"/>
      <name val="游ゴシック"/>
      <family val="3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b/>
      <sz val="18"/>
      <color rgb="FFFF0000"/>
      <name val="游ゴシック"/>
      <family val="3"/>
      <charset val="128"/>
      <scheme val="minor"/>
    </font>
    <font>
      <sz val="12"/>
      <name val="游ゴシック"/>
      <family val="2"/>
      <charset val="128"/>
      <scheme val="minor"/>
    </font>
    <font>
      <sz val="12"/>
      <color rgb="FFFF0000"/>
      <name val="游ゴシック"/>
      <family val="3"/>
      <charset val="128"/>
      <scheme val="minor"/>
    </font>
    <font>
      <sz val="12"/>
      <color theme="1"/>
      <name val="Calibri Light"/>
      <family val="2"/>
    </font>
    <font>
      <b/>
      <sz val="14"/>
      <color theme="1"/>
      <name val="游ゴシック"/>
      <family val="3"/>
      <charset val="128"/>
      <scheme val="minor"/>
    </font>
    <font>
      <b/>
      <sz val="16"/>
      <color theme="1"/>
      <name val="游ゴシック"/>
      <family val="3"/>
      <charset val="128"/>
      <scheme val="minor"/>
    </font>
    <font>
      <sz val="10"/>
      <color theme="1"/>
      <name val="游ゴシック"/>
      <family val="2"/>
      <charset val="128"/>
      <scheme val="minor"/>
    </font>
    <font>
      <sz val="14"/>
      <color rgb="FF002060"/>
      <name val="Calibri"/>
      <family val="2"/>
    </font>
    <font>
      <sz val="13"/>
      <color theme="1"/>
      <name val="Helvetica Neue"/>
      <family val="2"/>
    </font>
    <font>
      <sz val="12"/>
      <color theme="1"/>
      <name val="游ゴシック Light"/>
      <family val="3"/>
      <charset val="128"/>
      <scheme val="major"/>
    </font>
    <font>
      <sz val="16"/>
      <color rgb="FFFF0000"/>
      <name val="游ゴシック"/>
      <family val="2"/>
      <charset val="128"/>
      <scheme val="minor"/>
    </font>
    <font>
      <sz val="12"/>
      <color rgb="FFFF0000"/>
      <name val="游ゴシック"/>
      <family val="2"/>
      <charset val="128"/>
      <scheme val="minor"/>
    </font>
    <font>
      <sz val="10"/>
      <color theme="1"/>
      <name val="游ゴシック"/>
      <family val="3"/>
      <charset val="128"/>
      <scheme val="minor"/>
    </font>
    <font>
      <b/>
      <sz val="10"/>
      <color rgb="FFFF0000"/>
      <name val="游ゴシック"/>
      <family val="3"/>
      <charset val="128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9" tint="0.79995117038483843"/>
        <bgColor indexed="64"/>
      </patternFill>
    </fill>
    <fill>
      <patternFill patternType="solid">
        <fgColor theme="7" tint="0.7999511703848384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38" fontId="15" fillId="0" borderId="0">
      <alignment vertical="center"/>
    </xf>
  </cellStyleXfs>
  <cellXfs count="122">
    <xf numFmtId="0" fontId="0" fillId="0" borderId="0" xfId="0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176" fontId="3" fillId="0" borderId="0" xfId="0" applyNumberFormat="1" applyFont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176" fontId="2" fillId="2" borderId="0" xfId="0" applyNumberFormat="1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176" fontId="4" fillId="2" borderId="0" xfId="0" applyNumberFormat="1" applyFont="1" applyFill="1" applyAlignment="1">
      <alignment horizontal="center" vertical="center"/>
    </xf>
    <xf numFmtId="0" fontId="5" fillId="4" borderId="0" xfId="0" applyFont="1" applyFill="1">
      <alignment vertical="center"/>
    </xf>
    <xf numFmtId="0" fontId="5" fillId="4" borderId="0" xfId="0" applyFont="1" applyFill="1" applyAlignment="1">
      <alignment horizontal="center" vertical="center"/>
    </xf>
    <xf numFmtId="0" fontId="3" fillId="5" borderId="0" xfId="0" applyFont="1" applyFill="1">
      <alignment vertical="center"/>
    </xf>
    <xf numFmtId="0" fontId="6" fillId="0" borderId="0" xfId="0" applyFont="1" applyAlignment="1">
      <alignment vertical="center" wrapText="1" readingOrder="1"/>
    </xf>
    <xf numFmtId="0" fontId="7" fillId="0" borderId="0" xfId="0" applyFont="1" applyAlignment="1">
      <alignment vertical="center" wrapText="1" readingOrder="1"/>
    </xf>
    <xf numFmtId="177" fontId="0" fillId="0" borderId="0" xfId="0" applyNumberFormat="1">
      <alignment vertical="center"/>
    </xf>
    <xf numFmtId="0" fontId="8" fillId="6" borderId="0" xfId="0" applyFont="1" applyFill="1" applyAlignment="1">
      <alignment horizontal="center" vertical="center"/>
    </xf>
    <xf numFmtId="0" fontId="9" fillId="0" borderId="0" xfId="0" applyFont="1">
      <alignment vertical="center"/>
    </xf>
    <xf numFmtId="0" fontId="10" fillId="0" borderId="0" xfId="0" applyFont="1">
      <alignment vertical="center"/>
    </xf>
    <xf numFmtId="177" fontId="2" fillId="0" borderId="0" xfId="0" applyNumberFormat="1" applyFont="1">
      <alignment vertical="center"/>
    </xf>
    <xf numFmtId="177" fontId="3" fillId="0" borderId="0" xfId="0" applyNumberFormat="1" applyFont="1">
      <alignment vertical="center"/>
    </xf>
    <xf numFmtId="177" fontId="2" fillId="0" borderId="0" xfId="0" applyNumberFormat="1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9" fillId="7" borderId="0" xfId="0" applyFont="1" applyFill="1">
      <alignment vertical="center"/>
    </xf>
    <xf numFmtId="0" fontId="9" fillId="5" borderId="0" xfId="0" applyFont="1" applyFill="1">
      <alignment vertical="center"/>
    </xf>
    <xf numFmtId="0" fontId="9" fillId="8" borderId="0" xfId="0" applyFont="1" applyFill="1">
      <alignment vertical="center"/>
    </xf>
    <xf numFmtId="177" fontId="4" fillId="0" borderId="0" xfId="0" applyNumberFormat="1" applyFont="1">
      <alignment vertical="center"/>
    </xf>
    <xf numFmtId="178" fontId="2" fillId="10" borderId="0" xfId="0" applyNumberFormat="1" applyFont="1" applyFill="1" applyAlignment="1">
      <alignment horizontal="center" vertical="center"/>
    </xf>
    <xf numFmtId="0" fontId="11" fillId="3" borderId="0" xfId="0" applyFont="1" applyFill="1">
      <alignment vertical="center"/>
    </xf>
    <xf numFmtId="0" fontId="12" fillId="6" borderId="0" xfId="0" applyFont="1" applyFill="1">
      <alignment vertical="center"/>
    </xf>
    <xf numFmtId="178" fontId="2" fillId="2" borderId="0" xfId="0" applyNumberFormat="1" applyFont="1" applyFill="1" applyAlignment="1">
      <alignment horizontal="center" vertical="center"/>
    </xf>
    <xf numFmtId="179" fontId="2" fillId="0" borderId="0" xfId="0" applyNumberFormat="1" applyFont="1" applyAlignment="1">
      <alignment horizontal="center" vertical="center"/>
    </xf>
    <xf numFmtId="180" fontId="13" fillId="0" borderId="0" xfId="0" applyNumberFormat="1" applyFont="1">
      <alignment vertical="center"/>
    </xf>
    <xf numFmtId="180" fontId="2" fillId="0" borderId="0" xfId="0" applyNumberFormat="1" applyFont="1" applyAlignment="1">
      <alignment horizontal="center" vertical="center"/>
    </xf>
    <xf numFmtId="0" fontId="14" fillId="0" borderId="0" xfId="0" applyFont="1">
      <alignment vertical="center"/>
    </xf>
    <xf numFmtId="181" fontId="2" fillId="0" borderId="0" xfId="0" applyNumberFormat="1" applyFont="1">
      <alignment vertical="center"/>
    </xf>
    <xf numFmtId="181" fontId="2" fillId="0" borderId="0" xfId="0" applyNumberFormat="1" applyFont="1" applyAlignment="1">
      <alignment horizontal="center" vertical="center"/>
    </xf>
    <xf numFmtId="181" fontId="2" fillId="2" borderId="0" xfId="0" applyNumberFormat="1" applyFont="1" applyFill="1" applyAlignment="1">
      <alignment horizontal="center" vertical="center"/>
    </xf>
    <xf numFmtId="0" fontId="2" fillId="0" borderId="0" xfId="0" applyFont="1" applyAlignment="1">
      <alignment horizontal="right" vertical="center"/>
    </xf>
    <xf numFmtId="182" fontId="2" fillId="9" borderId="0" xfId="0" applyNumberFormat="1" applyFont="1" applyFill="1" applyAlignment="1">
      <alignment horizontal="center" vertical="center"/>
    </xf>
    <xf numFmtId="183" fontId="0" fillId="0" borderId="0" xfId="0" applyNumberFormat="1">
      <alignment vertical="center"/>
    </xf>
    <xf numFmtId="38" fontId="16" fillId="0" borderId="0" xfId="1" applyFont="1">
      <alignment vertical="center"/>
    </xf>
    <xf numFmtId="184" fontId="2" fillId="9" borderId="0" xfId="0" applyNumberFormat="1" applyFont="1" applyFill="1" applyAlignment="1">
      <alignment horizontal="center" vertical="center"/>
    </xf>
    <xf numFmtId="2" fontId="17" fillId="0" borderId="0" xfId="0" applyNumberFormat="1" applyFont="1">
      <alignment vertical="center"/>
    </xf>
    <xf numFmtId="0" fontId="18" fillId="3" borderId="0" xfId="0" applyFont="1" applyFill="1">
      <alignment vertical="center"/>
    </xf>
    <xf numFmtId="0" fontId="19" fillId="2" borderId="0" xfId="0" applyFont="1" applyFill="1" applyAlignment="1">
      <alignment horizontal="center" vertical="center"/>
    </xf>
    <xf numFmtId="38" fontId="2" fillId="0" borderId="0" xfId="1" applyFont="1" applyAlignment="1">
      <alignment horizontal="left" vertical="center"/>
    </xf>
    <xf numFmtId="0" fontId="20" fillId="0" borderId="0" xfId="0" applyFont="1">
      <alignment vertical="center"/>
    </xf>
    <xf numFmtId="2" fontId="0" fillId="0" borderId="0" xfId="0" applyNumberFormat="1">
      <alignment vertical="center"/>
    </xf>
    <xf numFmtId="2" fontId="21" fillId="0" borderId="0" xfId="0" applyNumberFormat="1" applyFont="1">
      <alignment vertical="center"/>
    </xf>
    <xf numFmtId="0" fontId="0" fillId="0" borderId="0" xfId="0" applyAlignment="1">
      <alignment horizontal="center" vertical="center"/>
    </xf>
    <xf numFmtId="0" fontId="20" fillId="0" borderId="0" xfId="0" applyFont="1" applyAlignment="1">
      <alignment horizontal="right" vertical="center"/>
    </xf>
    <xf numFmtId="0" fontId="0" fillId="0" borderId="0" xfId="0" applyAlignment="1">
      <alignment horizontal="left" vertical="center"/>
    </xf>
    <xf numFmtId="0" fontId="0" fillId="0" borderId="0" xfId="0" applyAlignment="1" applyProtection="1">
      <alignment horizontal="center" vertical="center"/>
      <protection locked="0"/>
    </xf>
    <xf numFmtId="0" fontId="23" fillId="0" borderId="0" xfId="0" applyFont="1" applyAlignment="1" applyProtection="1">
      <alignment horizontal="left" vertical="center"/>
      <protection locked="0"/>
    </xf>
    <xf numFmtId="0" fontId="22" fillId="0" borderId="0" xfId="0" applyFont="1" applyAlignment="1" applyProtection="1">
      <alignment horizontal="center" vertical="center"/>
      <protection locked="0"/>
    </xf>
    <xf numFmtId="38" fontId="22" fillId="0" borderId="0" xfId="1" applyFont="1" applyAlignment="1" applyProtection="1">
      <alignment horizontal="center" vertical="center"/>
      <protection locked="0"/>
    </xf>
    <xf numFmtId="38" fontId="0" fillId="0" borderId="0" xfId="1" applyFont="1">
      <alignment vertical="center"/>
    </xf>
    <xf numFmtId="38" fontId="26" fillId="0" borderId="0" xfId="1" applyFont="1" applyAlignment="1" applyProtection="1">
      <alignment horizontal="center" vertical="center"/>
      <protection locked="0"/>
    </xf>
    <xf numFmtId="0" fontId="25" fillId="0" borderId="0" xfId="0" applyFont="1" applyAlignment="1" applyProtection="1">
      <alignment horizontal="center" vertical="center"/>
      <protection locked="0"/>
    </xf>
    <xf numFmtId="0" fontId="24" fillId="0" borderId="0" xfId="0" applyFont="1" applyAlignment="1" applyProtection="1">
      <alignment horizontal="center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22" fillId="0" borderId="0" xfId="0" applyFont="1" applyAlignment="1" applyProtection="1">
      <alignment horizontal="right" vertical="center"/>
      <protection locked="0"/>
    </xf>
    <xf numFmtId="0" fontId="0" fillId="0" borderId="0" xfId="0" applyProtection="1">
      <alignment vertical="center"/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22" fillId="11" borderId="0" xfId="0" applyFont="1" applyFill="1" applyAlignment="1">
      <alignment horizontal="left" vertical="center"/>
    </xf>
    <xf numFmtId="0" fontId="0" fillId="11" borderId="0" xfId="0" applyFill="1" applyAlignment="1" applyProtection="1">
      <alignment horizontal="center" vertical="center"/>
      <protection locked="0"/>
    </xf>
    <xf numFmtId="0" fontId="0" fillId="11" borderId="0" xfId="0" applyFill="1" applyAlignment="1">
      <alignment horizontal="right" vertical="center"/>
    </xf>
    <xf numFmtId="0" fontId="0" fillId="11" borderId="0" xfId="0" applyFill="1" applyAlignment="1" applyProtection="1">
      <alignment horizontal="right" vertical="center"/>
      <protection locked="0"/>
    </xf>
    <xf numFmtId="0" fontId="0" fillId="11" borderId="0" xfId="0" applyFill="1" applyAlignment="1">
      <alignment horizontal="center" vertical="center"/>
    </xf>
    <xf numFmtId="0" fontId="0" fillId="11" borderId="0" xfId="0" applyFill="1" applyAlignment="1" applyProtection="1">
      <alignment horizontal="center" vertical="center" wrapText="1"/>
      <protection locked="0"/>
    </xf>
    <xf numFmtId="0" fontId="27" fillId="0" borderId="0" xfId="0" applyFont="1" applyAlignment="1" applyProtection="1">
      <alignment horizontal="left" vertical="center"/>
      <protection locked="0"/>
    </xf>
    <xf numFmtId="0" fontId="0" fillId="0" borderId="0" xfId="0" applyAlignment="1">
      <alignment horizontal="right" vertical="center"/>
    </xf>
    <xf numFmtId="2" fontId="2" fillId="9" borderId="0" xfId="0" applyNumberFormat="1" applyFont="1" applyFill="1" applyAlignment="1">
      <alignment horizontal="center" vertical="center"/>
    </xf>
    <xf numFmtId="0" fontId="28" fillId="11" borderId="0" xfId="0" applyFont="1" applyFill="1" applyAlignment="1" applyProtection="1">
      <alignment horizontal="right" vertical="center"/>
      <protection locked="0"/>
    </xf>
    <xf numFmtId="0" fontId="29" fillId="0" borderId="0" xfId="0" applyFon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/>
      <protection locked="0"/>
    </xf>
    <xf numFmtId="0" fontId="26" fillId="0" borderId="0" xfId="0" applyFont="1" applyAlignment="1" applyProtection="1">
      <alignment horizontal="left" vertical="center"/>
      <protection locked="0"/>
    </xf>
    <xf numFmtId="1" fontId="0" fillId="0" borderId="0" xfId="0" applyNumberFormat="1" applyAlignment="1" applyProtection="1">
      <alignment horizontal="center" vertical="center"/>
      <protection locked="0"/>
    </xf>
    <xf numFmtId="0" fontId="25" fillId="11" borderId="0" xfId="0" applyFont="1" applyFill="1" applyAlignment="1" applyProtection="1">
      <alignment horizontal="center" vertical="center"/>
      <protection locked="0"/>
    </xf>
    <xf numFmtId="185" fontId="25" fillId="0" borderId="0" xfId="0" applyNumberFormat="1" applyFont="1" applyAlignment="1" applyProtection="1">
      <alignment horizontal="center" vertical="center"/>
      <protection locked="0"/>
    </xf>
    <xf numFmtId="0" fontId="30" fillId="0" borderId="0" xfId="0" applyFont="1" applyAlignment="1" applyProtection="1">
      <alignment horizontal="center" vertical="center"/>
      <protection locked="0"/>
    </xf>
    <xf numFmtId="0" fontId="31" fillId="0" borderId="0" xfId="0" applyFont="1" applyAlignment="1" applyProtection="1">
      <alignment horizontal="left" vertical="center"/>
      <protection locked="0"/>
    </xf>
    <xf numFmtId="0" fontId="32" fillId="0" borderId="0" xfId="0" applyFont="1" applyAlignment="1" applyProtection="1">
      <alignment horizontal="center" vertical="center"/>
      <protection locked="0"/>
    </xf>
    <xf numFmtId="186" fontId="25" fillId="0" borderId="0" xfId="0" applyNumberFormat="1" applyFont="1" applyAlignment="1" applyProtection="1">
      <alignment horizontal="center" vertical="center"/>
      <protection locked="0"/>
    </xf>
    <xf numFmtId="0" fontId="33" fillId="0" borderId="0" xfId="0" applyFont="1" applyAlignment="1" applyProtection="1">
      <alignment horizontal="left" vertical="top"/>
      <protection locked="0"/>
    </xf>
    <xf numFmtId="0" fontId="33" fillId="0" borderId="0" xfId="0" applyFont="1" applyAlignment="1">
      <alignment horizontal="left" vertical="top"/>
    </xf>
    <xf numFmtId="2" fontId="33" fillId="0" borderId="0" xfId="0" applyNumberFormat="1" applyFont="1" applyAlignment="1" applyProtection="1">
      <alignment horizontal="left" vertical="top"/>
      <protection locked="0"/>
    </xf>
    <xf numFmtId="38" fontId="33" fillId="0" borderId="0" xfId="1" applyFont="1" applyAlignment="1" applyProtection="1">
      <alignment horizontal="left" vertical="top"/>
      <protection locked="0"/>
    </xf>
    <xf numFmtId="0" fontId="33" fillId="0" borderId="0" xfId="0" applyFont="1" applyAlignment="1" applyProtection="1">
      <alignment horizontal="left" vertical="top" wrapText="1"/>
      <protection locked="0"/>
    </xf>
    <xf numFmtId="186" fontId="33" fillId="0" borderId="0" xfId="0" applyNumberFormat="1" applyFont="1" applyAlignment="1" applyProtection="1">
      <alignment horizontal="left" vertical="top"/>
      <protection locked="0"/>
    </xf>
    <xf numFmtId="1" fontId="33" fillId="0" borderId="0" xfId="0" applyNumberFormat="1" applyFont="1" applyAlignment="1" applyProtection="1">
      <alignment horizontal="left" vertical="top"/>
      <protection locked="0"/>
    </xf>
    <xf numFmtId="0" fontId="33" fillId="12" borderId="0" xfId="0" applyFont="1" applyFill="1" applyAlignment="1" applyProtection="1">
      <alignment horizontal="left" vertical="top"/>
      <protection locked="0"/>
    </xf>
    <xf numFmtId="0" fontId="33" fillId="12" borderId="0" xfId="0" applyFont="1" applyFill="1" applyAlignment="1">
      <alignment horizontal="left" vertical="top"/>
    </xf>
    <xf numFmtId="187" fontId="33" fillId="12" borderId="0" xfId="0" applyNumberFormat="1" applyFont="1" applyFill="1" applyAlignment="1">
      <alignment horizontal="left" vertical="top" wrapText="1"/>
    </xf>
    <xf numFmtId="0" fontId="33" fillId="13" borderId="0" xfId="0" applyFont="1" applyFill="1" applyAlignment="1" applyProtection="1">
      <alignment horizontal="left" vertical="top" wrapText="1"/>
      <protection locked="0"/>
    </xf>
    <xf numFmtId="0" fontId="33" fillId="13" borderId="0" xfId="0" applyFont="1" applyFill="1" applyAlignment="1" applyProtection="1">
      <alignment horizontal="left" vertical="top"/>
      <protection locked="0"/>
    </xf>
    <xf numFmtId="0" fontId="33" fillId="13" borderId="0" xfId="0" applyFont="1" applyFill="1" applyAlignment="1">
      <alignment horizontal="left" vertical="top"/>
    </xf>
    <xf numFmtId="0" fontId="33" fillId="14" borderId="0" xfId="0" applyFont="1" applyFill="1" applyAlignment="1">
      <alignment horizontal="left" vertical="top"/>
    </xf>
    <xf numFmtId="2" fontId="22" fillId="0" borderId="0" xfId="0" applyNumberFormat="1" applyFont="1" applyAlignment="1" applyProtection="1">
      <alignment horizontal="right" vertical="center"/>
      <protection locked="0"/>
    </xf>
    <xf numFmtId="0" fontId="34" fillId="0" borderId="0" xfId="0" applyFont="1">
      <alignment vertical="center"/>
    </xf>
    <xf numFmtId="0" fontId="35" fillId="0" borderId="0" xfId="0" applyFont="1">
      <alignment vertical="center"/>
    </xf>
    <xf numFmtId="0" fontId="0" fillId="0" borderId="0" xfId="0" quotePrefix="1" applyAlignment="1" applyProtection="1">
      <alignment vertical="center" wrapText="1"/>
      <protection locked="0"/>
    </xf>
    <xf numFmtId="0" fontId="36" fillId="0" borderId="0" xfId="0" applyFont="1" applyAlignment="1" applyProtection="1">
      <alignment horizontal="center" vertical="center"/>
      <protection locked="0"/>
    </xf>
    <xf numFmtId="184" fontId="0" fillId="0" borderId="0" xfId="0" applyNumberFormat="1" applyAlignment="1" applyProtection="1">
      <alignment horizontal="center" vertical="center"/>
      <protection locked="0"/>
    </xf>
    <xf numFmtId="188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/>
    <xf numFmtId="0" fontId="37" fillId="0" borderId="0" xfId="0" applyFont="1" applyAlignment="1" applyProtection="1">
      <alignment horizontal="right" vertical="center"/>
      <protection locked="0"/>
    </xf>
    <xf numFmtId="0" fontId="17" fillId="15" borderId="0" xfId="0" applyFont="1" applyFill="1" applyAlignment="1" applyProtection="1">
      <alignment horizontal="right" vertical="center"/>
      <protection locked="0"/>
    </xf>
    <xf numFmtId="0" fontId="38" fillId="5" borderId="0" xfId="0" applyFont="1" applyFill="1">
      <alignment vertical="center"/>
    </xf>
    <xf numFmtId="0" fontId="38" fillId="16" borderId="0" xfId="0" applyFont="1" applyFill="1">
      <alignment vertical="center"/>
    </xf>
    <xf numFmtId="0" fontId="38" fillId="17" borderId="0" xfId="0" applyFont="1" applyFill="1">
      <alignment vertical="center"/>
    </xf>
    <xf numFmtId="0" fontId="38" fillId="16" borderId="0" xfId="0" applyFont="1" applyFill="1" applyAlignment="1"/>
    <xf numFmtId="0" fontId="39" fillId="5" borderId="0" xfId="0" applyFont="1" applyFill="1" applyAlignment="1" applyProtection="1">
      <alignment horizontal="center" vertical="center"/>
      <protection locked="0"/>
    </xf>
    <xf numFmtId="0" fontId="39" fillId="5" borderId="0" xfId="0" applyFont="1" applyFill="1" applyAlignment="1"/>
    <xf numFmtId="0" fontId="39" fillId="16" borderId="0" xfId="0" applyFont="1" applyFill="1" applyAlignment="1" applyProtection="1">
      <alignment horizontal="center" vertical="center"/>
      <protection locked="0"/>
    </xf>
    <xf numFmtId="0" fontId="39" fillId="16" borderId="0" xfId="0" applyFont="1" applyFill="1">
      <alignment vertical="center"/>
    </xf>
    <xf numFmtId="0" fontId="39" fillId="17" borderId="0" xfId="0" applyFont="1" applyFill="1">
      <alignment vertical="center"/>
    </xf>
    <xf numFmtId="0" fontId="39" fillId="17" borderId="0" xfId="0" applyFont="1" applyFill="1" applyAlignment="1"/>
    <xf numFmtId="0" fontId="0" fillId="14" borderId="0" xfId="0" applyFill="1" applyAlignment="1" applyProtection="1">
      <alignment horizontal="right" vertical="center"/>
      <protection locked="0"/>
    </xf>
    <xf numFmtId="0" fontId="38" fillId="7" borderId="0" xfId="0" applyFont="1" applyFill="1">
      <alignment vertical="center"/>
    </xf>
    <xf numFmtId="0" fontId="39" fillId="7" borderId="0" xfId="0" applyFont="1" applyFill="1" applyAlignment="1" applyProtection="1">
      <alignment horizontal="center" vertical="center"/>
      <protection locked="0"/>
    </xf>
    <xf numFmtId="0" fontId="0" fillId="5" borderId="0" xfId="0" applyFill="1" applyAlignment="1" applyProtection="1">
      <alignment horizontal="center" vertical="center"/>
      <protection locked="0"/>
    </xf>
  </cellXfs>
  <cellStyles count="2">
    <cellStyle name="桁区切り" xfId="1" builtinId="6"/>
    <cellStyle name="標準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393700</xdr:colOff>
      <xdr:row>37</xdr:row>
      <xdr:rowOff>130780</xdr:rowOff>
    </xdr:from>
    <xdr:to>
      <xdr:col>2</xdr:col>
      <xdr:colOff>129633</xdr:colOff>
      <xdr:row>49</xdr:row>
      <xdr:rowOff>34322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346200" y="7560280"/>
          <a:ext cx="2933700" cy="2494341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1</xdr:col>
      <xdr:colOff>127000</xdr:colOff>
      <xdr:row>29</xdr:row>
      <xdr:rowOff>165100</xdr:rowOff>
    </xdr:from>
    <xdr:to>
      <xdr:col>2</xdr:col>
      <xdr:colOff>66133</xdr:colOff>
      <xdr:row>36</xdr:row>
      <xdr:rowOff>73697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79500" y="5867400"/>
          <a:ext cx="3136900" cy="15621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2</xdr:col>
      <xdr:colOff>1739900</xdr:colOff>
      <xdr:row>30</xdr:row>
      <xdr:rowOff>88900</xdr:rowOff>
    </xdr:from>
    <xdr:to>
      <xdr:col>6</xdr:col>
      <xdr:colOff>195222</xdr:colOff>
      <xdr:row>46</xdr:row>
      <xdr:rowOff>109185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699000" y="6007100"/>
          <a:ext cx="4178300" cy="35814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10</xdr:col>
      <xdr:colOff>876300</xdr:colOff>
      <xdr:row>31</xdr:row>
      <xdr:rowOff>100402</xdr:rowOff>
    </xdr:from>
    <xdr:to>
      <xdr:col>14</xdr:col>
      <xdr:colOff>1327028</xdr:colOff>
      <xdr:row>39</xdr:row>
      <xdr:rowOff>105228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8699500" y="6348802"/>
          <a:ext cx="2997200" cy="1804597"/>
        </a:xfrm>
        <a:prstGeom prst="rect">
          <a:avLst/>
        </a:prstGeom>
        <a:ln>
          <a:prstDash val="solid"/>
        </a:ln>
      </xdr:spPr>
    </xdr:pic>
    <xdr:clientData/>
  </xdr:twoCellAnchor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C70"/>
  <sheetViews>
    <sheetView topLeftCell="A6" zoomScale="125" zoomScaleNormal="72" workbookViewId="0">
      <selection activeCell="B12" sqref="B12"/>
    </sheetView>
  </sheetViews>
  <sheetFormatPr baseColWidth="10" defaultRowHeight="17"/>
  <cols>
    <col min="1" max="1" width="10.7109375" style="2" customWidth="1"/>
    <col min="2" max="2" width="36" style="2" customWidth="1"/>
    <col min="3" max="3" width="15.85546875" style="1" customWidth="1"/>
    <col min="4" max="4" width="21.28515625" style="18" customWidth="1"/>
    <col min="5" max="5" width="8.28515625" style="2" customWidth="1"/>
    <col min="6" max="6" width="15.28515625" style="2" customWidth="1"/>
    <col min="7" max="11" width="8.28515625" style="2" customWidth="1"/>
    <col min="12" max="14" width="6.28515625" style="2" customWidth="1"/>
    <col min="15" max="15" width="19.85546875" style="2" bestFit="1" customWidth="1"/>
    <col min="16" max="17" width="20" style="2" bestFit="1" customWidth="1"/>
    <col min="18" max="18" width="13" style="2" customWidth="1"/>
    <col min="19" max="21" width="10.7109375" style="2" customWidth="1"/>
    <col min="22" max="22" width="18.28515625" style="2" customWidth="1"/>
    <col min="23" max="23" width="16.28515625" style="2" customWidth="1"/>
    <col min="24" max="25" width="10.7109375" style="2" customWidth="1"/>
    <col min="26" max="16384" width="10.7109375" style="2"/>
  </cols>
  <sheetData>
    <row r="1" spans="2:28">
      <c r="B1" s="27" t="s">
        <v>0</v>
      </c>
      <c r="C1" s="5" t="str">
        <f>new!B3</f>
        <v>single_simulation</v>
      </c>
      <c r="E1" s="3" t="s">
        <v>1</v>
      </c>
      <c r="F1" s="3" t="s">
        <v>2</v>
      </c>
      <c r="G1" s="3" t="s">
        <v>3</v>
      </c>
      <c r="H1" s="3" t="s">
        <v>4</v>
      </c>
      <c r="I1" s="3" t="s">
        <v>5</v>
      </c>
      <c r="J1" s="3" t="s">
        <v>6</v>
      </c>
      <c r="K1" s="3" t="s">
        <v>7</v>
      </c>
      <c r="L1" s="3" t="s">
        <v>8</v>
      </c>
      <c r="M1" s="3" t="s">
        <v>9</v>
      </c>
      <c r="N1" s="3" t="s">
        <v>10</v>
      </c>
      <c r="O1" s="3"/>
    </row>
    <row r="2" spans="2:28">
      <c r="B2" s="27" t="s">
        <v>11</v>
      </c>
      <c r="C2" s="5" t="str">
        <f>new!B4</f>
        <v>spot</v>
      </c>
      <c r="E2" s="3" t="s">
        <v>12</v>
      </c>
      <c r="G2" s="3" t="s">
        <v>13</v>
      </c>
      <c r="H2" s="3" t="s">
        <v>14</v>
      </c>
      <c r="I2" s="3" t="s">
        <v>15</v>
      </c>
      <c r="J2" s="3"/>
      <c r="K2" s="3"/>
      <c r="L2" s="3"/>
      <c r="AA2" s="2">
        <v>1</v>
      </c>
    </row>
    <row r="3" spans="2:28">
      <c r="B3" s="27" t="s">
        <v>16</v>
      </c>
      <c r="C3" s="5" t="str">
        <f>new!B12</f>
        <v>bottom_center</v>
      </c>
      <c r="E3" s="3" t="s">
        <v>17</v>
      </c>
      <c r="F3" s="3" t="s">
        <v>18</v>
      </c>
      <c r="G3" s="3" t="s">
        <v>19</v>
      </c>
      <c r="H3" s="3" t="s">
        <v>20</v>
      </c>
      <c r="I3" s="3"/>
      <c r="J3" s="3"/>
    </row>
    <row r="4" spans="2:28" ht="20" customHeight="1">
      <c r="B4" s="27" t="s">
        <v>21</v>
      </c>
      <c r="C4" s="41">
        <f>new!D4</f>
        <v>5</v>
      </c>
      <c r="E4" s="2">
        <v>0.25</v>
      </c>
      <c r="F4" s="3">
        <v>1</v>
      </c>
      <c r="G4" s="3">
        <v>4</v>
      </c>
      <c r="H4" s="2">
        <v>16</v>
      </c>
      <c r="I4" s="3">
        <v>64</v>
      </c>
      <c r="J4" s="3">
        <v>256</v>
      </c>
      <c r="K4" s="2">
        <v>400</v>
      </c>
    </row>
    <row r="5" spans="2:28">
      <c r="B5" s="27" t="s">
        <v>22</v>
      </c>
      <c r="C5" s="6">
        <f>new!B5</f>
        <v>3162</v>
      </c>
      <c r="E5" s="40">
        <v>1</v>
      </c>
      <c r="F5" s="40">
        <v>10</v>
      </c>
      <c r="G5" s="40">
        <v>100</v>
      </c>
      <c r="H5" s="40">
        <v>300</v>
      </c>
      <c r="I5" s="40">
        <v>1000</v>
      </c>
      <c r="J5" s="40">
        <v>3000</v>
      </c>
      <c r="K5" s="40">
        <v>6000</v>
      </c>
      <c r="L5" s="40">
        <f>10^4</f>
        <v>10000</v>
      </c>
      <c r="M5" s="40">
        <v>30000</v>
      </c>
      <c r="N5" s="40">
        <v>60000</v>
      </c>
      <c r="O5" s="40">
        <v>100000</v>
      </c>
      <c r="P5" s="40">
        <v>300000</v>
      </c>
      <c r="Q5" s="40">
        <v>600000</v>
      </c>
      <c r="R5" s="40">
        <v>1000000</v>
      </c>
    </row>
    <row r="6" spans="2:28">
      <c r="B6" s="27" t="s">
        <v>23</v>
      </c>
      <c r="C6" s="8">
        <f>C5*C4/1000</f>
        <v>15.81</v>
      </c>
      <c r="E6" s="4">
        <f>(C5/1000)*C4</f>
        <v>15.809999999999999</v>
      </c>
      <c r="F6" s="3"/>
      <c r="G6" s="3"/>
      <c r="H6" s="3"/>
      <c r="I6" s="3"/>
      <c r="J6" s="3"/>
    </row>
    <row r="7" spans="2:28">
      <c r="B7" s="27" t="s">
        <v>24</v>
      </c>
      <c r="C7" s="5">
        <f>new!B7</f>
        <v>0.13</v>
      </c>
      <c r="E7" s="3">
        <v>0.1</v>
      </c>
      <c r="F7" s="3">
        <v>0.13</v>
      </c>
      <c r="G7" s="3">
        <v>0.3</v>
      </c>
      <c r="H7" s="3"/>
      <c r="I7" s="3"/>
      <c r="J7" s="3"/>
    </row>
    <row r="8" spans="2:28" ht="20" customHeight="1">
      <c r="B8" s="27" t="s">
        <v>25</v>
      </c>
      <c r="C8" s="72">
        <f>new!E7</f>
        <v>0.4</v>
      </c>
      <c r="E8" s="3">
        <v>0</v>
      </c>
      <c r="F8" s="42">
        <v>0.1</v>
      </c>
      <c r="G8" s="42">
        <v>0.2</v>
      </c>
      <c r="H8" s="42">
        <v>0.3</v>
      </c>
      <c r="I8" s="42">
        <v>0.4</v>
      </c>
      <c r="J8" s="42">
        <v>0.5</v>
      </c>
      <c r="K8" s="42">
        <v>0.6</v>
      </c>
      <c r="L8" s="42">
        <v>0.7</v>
      </c>
      <c r="M8" s="42">
        <v>0.8</v>
      </c>
      <c r="N8" s="42">
        <v>0.9</v>
      </c>
      <c r="O8" s="42">
        <v>1</v>
      </c>
      <c r="P8" s="42">
        <v>2</v>
      </c>
      <c r="Q8" s="42">
        <v>3</v>
      </c>
      <c r="R8" s="2">
        <v>4</v>
      </c>
      <c r="S8" s="2">
        <v>5</v>
      </c>
    </row>
    <row r="9" spans="2:28" ht="26" customHeight="1">
      <c r="B9" s="28" t="s">
        <v>26</v>
      </c>
      <c r="C9" s="15">
        <f>new!D5</f>
        <v>4</v>
      </c>
      <c r="E9" s="3">
        <v>0.02</v>
      </c>
      <c r="F9" s="3">
        <v>0.03</v>
      </c>
      <c r="G9" s="3">
        <v>0.04</v>
      </c>
      <c r="H9" s="3">
        <v>0.05</v>
      </c>
      <c r="I9" s="3">
        <v>0.06</v>
      </c>
      <c r="J9" s="3">
        <v>7.0000000000000007E-2</v>
      </c>
      <c r="K9" s="3">
        <v>0.08</v>
      </c>
      <c r="L9" s="3">
        <v>0.09</v>
      </c>
      <c r="M9" s="3">
        <v>0.1</v>
      </c>
      <c r="N9" s="2">
        <v>0.15</v>
      </c>
      <c r="O9" s="3">
        <v>0.2</v>
      </c>
      <c r="P9" s="3">
        <v>0.3</v>
      </c>
      <c r="Q9" s="3">
        <v>0.4</v>
      </c>
      <c r="R9" s="3">
        <v>0.5</v>
      </c>
      <c r="S9" s="2">
        <v>0.6</v>
      </c>
      <c r="T9" s="2">
        <v>0.7</v>
      </c>
      <c r="U9" s="2">
        <v>1</v>
      </c>
      <c r="V9" s="2">
        <v>2</v>
      </c>
      <c r="W9" s="2">
        <v>4</v>
      </c>
      <c r="X9" s="2">
        <v>6</v>
      </c>
      <c r="Y9" s="2">
        <v>10</v>
      </c>
      <c r="Z9" s="2">
        <v>20</v>
      </c>
      <c r="AA9" s="2">
        <v>30</v>
      </c>
      <c r="AB9" s="2">
        <v>60</v>
      </c>
    </row>
    <row r="10" spans="2:28">
      <c r="B10" s="27" t="s">
        <v>27</v>
      </c>
      <c r="C10" s="5">
        <f>new!E6</f>
        <v>2</v>
      </c>
      <c r="E10" s="3">
        <v>0.2</v>
      </c>
      <c r="F10" s="3">
        <v>0.7</v>
      </c>
      <c r="G10" s="2">
        <v>1</v>
      </c>
      <c r="H10" s="3">
        <v>1.5</v>
      </c>
      <c r="I10" s="3">
        <v>2</v>
      </c>
      <c r="J10" s="3"/>
    </row>
    <row r="11" spans="2:28">
      <c r="B11" s="27" t="s">
        <v>28</v>
      </c>
      <c r="C11" s="7">
        <f>60*C9/C10</f>
        <v>120</v>
      </c>
      <c r="D11" s="45">
        <f>C6*C11</f>
        <v>1897.2</v>
      </c>
      <c r="E11" s="3"/>
      <c r="F11" s="3"/>
      <c r="G11" s="3"/>
      <c r="H11" s="3"/>
      <c r="I11" s="3"/>
      <c r="J11" s="3"/>
    </row>
    <row r="12" spans="2:28">
      <c r="B12" s="27" t="s">
        <v>29</v>
      </c>
      <c r="C12" s="5" t="s">
        <v>30</v>
      </c>
      <c r="D12" s="25" t="str">
        <f>IF(C2=C12, "FIXED start"," Randomized")</f>
        <v xml:space="preserve"> Randomized</v>
      </c>
      <c r="E12" s="3" t="s">
        <v>30</v>
      </c>
      <c r="F12" s="3" t="str">
        <f>C2</f>
        <v>spot</v>
      </c>
      <c r="G12" s="3" t="s">
        <v>12</v>
      </c>
      <c r="H12" s="3" t="s">
        <v>14</v>
      </c>
      <c r="I12" s="3"/>
      <c r="J12" s="3"/>
    </row>
    <row r="13" spans="2:28">
      <c r="B13" s="27" t="s">
        <v>31</v>
      </c>
      <c r="C13" s="5" t="str">
        <f>new!B10</f>
        <v>COC</v>
      </c>
      <c r="E13" s="3">
        <v>0.15</v>
      </c>
      <c r="F13" s="3">
        <v>0.17</v>
      </c>
      <c r="G13" s="3">
        <v>0.04</v>
      </c>
      <c r="H13" s="3">
        <v>0.05</v>
      </c>
      <c r="I13" s="3">
        <v>0.3</v>
      </c>
    </row>
    <row r="14" spans="2:28">
      <c r="B14" s="27" t="s">
        <v>32</v>
      </c>
      <c r="C14" s="5" t="e">
        <f>new!#REF!</f>
        <v>#REF!</v>
      </c>
      <c r="E14" s="3" t="s">
        <v>33</v>
      </c>
      <c r="F14" s="3" t="s">
        <v>34</v>
      </c>
      <c r="G14" s="11"/>
      <c r="H14" s="3"/>
      <c r="I14" s="3"/>
      <c r="J14" s="3"/>
    </row>
    <row r="15" spans="2:28">
      <c r="B15" s="27" t="s">
        <v>35</v>
      </c>
      <c r="C15" s="5" t="e">
        <f>new!#REF!</f>
        <v>#REF!</v>
      </c>
      <c r="E15" s="3" t="s">
        <v>33</v>
      </c>
      <c r="F15" s="3" t="s">
        <v>34</v>
      </c>
      <c r="G15" s="3"/>
      <c r="H15" s="3"/>
      <c r="I15" s="3"/>
      <c r="J15" s="3"/>
    </row>
    <row r="16" spans="2:28">
      <c r="B16" s="27" t="s">
        <v>36</v>
      </c>
      <c r="C16" s="29">
        <v>1</v>
      </c>
      <c r="E16" s="3">
        <v>1</v>
      </c>
      <c r="F16" s="3">
        <v>0.1</v>
      </c>
      <c r="G16" s="3">
        <v>0.2</v>
      </c>
      <c r="H16" s="3">
        <v>0.3</v>
      </c>
      <c r="I16" s="3">
        <v>0.4</v>
      </c>
      <c r="J16" s="3"/>
    </row>
    <row r="17" spans="2:29">
      <c r="B17" s="27" t="s">
        <v>37</v>
      </c>
      <c r="C17" s="5" t="str">
        <f>new!E11</f>
        <v>None</v>
      </c>
      <c r="E17" s="3">
        <v>0</v>
      </c>
      <c r="F17" s="3">
        <v>1</v>
      </c>
      <c r="G17" s="3">
        <v>2</v>
      </c>
      <c r="H17" s="3">
        <v>3</v>
      </c>
      <c r="I17" s="3">
        <v>4</v>
      </c>
      <c r="J17" s="3">
        <v>5</v>
      </c>
      <c r="K17" s="3">
        <v>6</v>
      </c>
      <c r="L17" s="2">
        <v>7</v>
      </c>
      <c r="M17" s="2">
        <v>8</v>
      </c>
      <c r="N17" s="2">
        <v>9</v>
      </c>
      <c r="O17" s="2">
        <v>10</v>
      </c>
      <c r="P17" s="2">
        <v>11</v>
      </c>
      <c r="Q17" s="2">
        <v>12</v>
      </c>
      <c r="R17" s="2">
        <v>13</v>
      </c>
      <c r="S17" s="2">
        <v>14</v>
      </c>
      <c r="T17" s="2">
        <v>15</v>
      </c>
    </row>
    <row r="18" spans="2:29">
      <c r="B18" s="43"/>
      <c r="C18" s="44"/>
      <c r="E18" s="3">
        <v>0</v>
      </c>
      <c r="F18" s="3">
        <v>1</v>
      </c>
      <c r="G18" s="3">
        <v>2</v>
      </c>
      <c r="H18" s="3">
        <v>3</v>
      </c>
      <c r="I18" s="3">
        <v>4</v>
      </c>
      <c r="J18" s="3">
        <v>5</v>
      </c>
      <c r="K18" s="3">
        <v>6</v>
      </c>
      <c r="L18" s="2">
        <v>20</v>
      </c>
    </row>
    <row r="19" spans="2:29">
      <c r="B19" s="27" t="s">
        <v>38</v>
      </c>
      <c r="C19" s="26">
        <f>new!E10</f>
        <v>6</v>
      </c>
      <c r="E19" s="2">
        <v>0</v>
      </c>
      <c r="F19" s="2">
        <v>1</v>
      </c>
      <c r="G19" s="3">
        <v>2</v>
      </c>
      <c r="H19" s="3">
        <v>3</v>
      </c>
      <c r="I19" s="3">
        <v>5</v>
      </c>
      <c r="J19" s="3">
        <v>10</v>
      </c>
      <c r="K19" s="3">
        <v>20</v>
      </c>
      <c r="L19" s="2">
        <v>30</v>
      </c>
    </row>
    <row r="20" spans="2:29">
      <c r="B20" s="27" t="s">
        <v>39</v>
      </c>
      <c r="C20" s="38">
        <f>new!B6</f>
        <v>0</v>
      </c>
      <c r="D20" s="19"/>
      <c r="E20" s="3"/>
      <c r="F20" s="3"/>
      <c r="G20" s="3"/>
      <c r="H20" s="3"/>
      <c r="I20" s="3"/>
      <c r="J20" s="3"/>
      <c r="K20" s="3"/>
      <c r="L20" s="3"/>
      <c r="M20" s="3"/>
    </row>
    <row r="21" spans="2:29">
      <c r="B21" s="27" t="s">
        <v>40</v>
      </c>
      <c r="C21" s="1">
        <v>0.8</v>
      </c>
      <c r="E21" s="3">
        <v>1</v>
      </c>
      <c r="F21" s="3">
        <v>0</v>
      </c>
      <c r="G21" s="3">
        <v>0.8</v>
      </c>
      <c r="H21" s="3">
        <v>0.7</v>
      </c>
      <c r="I21" s="3">
        <v>0.6</v>
      </c>
      <c r="J21" s="3">
        <v>0.5</v>
      </c>
      <c r="K21" s="3">
        <v>0.4</v>
      </c>
      <c r="L21" s="3">
        <v>0.3</v>
      </c>
      <c r="M21" s="3">
        <v>0.2</v>
      </c>
      <c r="N21" s="3">
        <v>0.1</v>
      </c>
      <c r="O21" s="3">
        <v>0.04</v>
      </c>
      <c r="P21" s="3">
        <v>0.03</v>
      </c>
    </row>
    <row r="22" spans="2:29" ht="21" customHeight="1">
      <c r="B22" s="27" t="s">
        <v>41</v>
      </c>
      <c r="C22" s="5"/>
      <c r="D22" s="1" t="s">
        <v>42</v>
      </c>
      <c r="E22" s="20" t="s">
        <v>43</v>
      </c>
      <c r="F22" s="1" t="s">
        <v>44</v>
      </c>
      <c r="G22" s="1" t="s">
        <v>45</v>
      </c>
      <c r="H22" s="1" t="s">
        <v>46</v>
      </c>
      <c r="I22" s="1" t="s">
        <v>47</v>
      </c>
      <c r="J22" s="1" t="s">
        <v>44</v>
      </c>
      <c r="K22" s="1" t="s">
        <v>48</v>
      </c>
      <c r="L22" s="1" t="s">
        <v>49</v>
      </c>
      <c r="M22" s="1" t="s">
        <v>50</v>
      </c>
      <c r="N22" s="1" t="s">
        <v>51</v>
      </c>
      <c r="O22" s="1" t="s">
        <v>52</v>
      </c>
      <c r="P22" s="1" t="s">
        <v>53</v>
      </c>
      <c r="Q22" s="1" t="s">
        <v>54</v>
      </c>
      <c r="R22" s="1" t="s">
        <v>55</v>
      </c>
      <c r="S22" s="1" t="s">
        <v>56</v>
      </c>
      <c r="T22" s="1" t="s">
        <v>57</v>
      </c>
      <c r="U22" s="1" t="s">
        <v>58</v>
      </c>
      <c r="V22" s="1" t="s">
        <v>59</v>
      </c>
      <c r="W22" s="1" t="s">
        <v>60</v>
      </c>
      <c r="X22" s="1" t="s">
        <v>61</v>
      </c>
      <c r="Y22" s="1" t="s">
        <v>62</v>
      </c>
      <c r="Z22" s="1" t="s">
        <v>45</v>
      </c>
      <c r="AA22" s="1" t="s">
        <v>63</v>
      </c>
      <c r="AB22" s="1" t="s">
        <v>64</v>
      </c>
      <c r="AC22" s="1" t="s">
        <v>65</v>
      </c>
    </row>
    <row r="23" spans="2:29" ht="21" customHeight="1">
      <c r="B23" s="27" t="s">
        <v>66</v>
      </c>
      <c r="C23" s="5">
        <f>new!H6</f>
        <v>4</v>
      </c>
      <c r="D23" s="1"/>
      <c r="E23" s="30">
        <v>0</v>
      </c>
      <c r="F23" s="30">
        <v>1</v>
      </c>
      <c r="G23" s="30">
        <v>2</v>
      </c>
      <c r="H23" s="30">
        <v>3</v>
      </c>
      <c r="I23" s="30">
        <v>4</v>
      </c>
      <c r="J23" s="30">
        <v>5</v>
      </c>
      <c r="K23" s="30">
        <v>6</v>
      </c>
      <c r="L23" s="30">
        <v>7</v>
      </c>
      <c r="M23" s="30">
        <v>8</v>
      </c>
      <c r="N23" s="30">
        <v>9</v>
      </c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</row>
    <row r="24" spans="2:29" ht="21" customHeight="1">
      <c r="B24" s="27" t="s">
        <v>67</v>
      </c>
      <c r="C24" s="36">
        <f>new!H7</f>
        <v>70</v>
      </c>
      <c r="D24" s="1"/>
      <c r="E24" s="34">
        <v>90</v>
      </c>
      <c r="F24" s="34">
        <v>80</v>
      </c>
      <c r="G24" s="35">
        <v>70</v>
      </c>
      <c r="H24" s="35">
        <v>60</v>
      </c>
      <c r="I24" s="35">
        <v>50</v>
      </c>
      <c r="J24" s="35">
        <v>40</v>
      </c>
      <c r="K24" s="35">
        <v>30</v>
      </c>
      <c r="L24" s="35">
        <v>20</v>
      </c>
      <c r="M24" s="35">
        <v>10</v>
      </c>
      <c r="N24" s="35"/>
      <c r="O24" s="35"/>
      <c r="P24" s="1"/>
      <c r="Q24" s="39">
        <v>0.1258925411794167</v>
      </c>
      <c r="R24" s="39">
        <v>0.1584893192461114</v>
      </c>
      <c r="S24" s="39">
        <v>0.199526231496888</v>
      </c>
      <c r="T24" s="39">
        <v>0.25118864315095812</v>
      </c>
      <c r="U24" s="39">
        <v>0.31622776601683789</v>
      </c>
      <c r="V24" s="39">
        <v>0.39810717055349742</v>
      </c>
      <c r="W24" s="39">
        <v>0.50118723362727235</v>
      </c>
      <c r="X24" s="39">
        <v>0.63095734448019347</v>
      </c>
      <c r="Y24" s="39">
        <v>0.79432823472428171</v>
      </c>
      <c r="Z24" s="39">
        <v>1</v>
      </c>
      <c r="AA24" s="1"/>
      <c r="AB24" s="1"/>
      <c r="AC24" s="1"/>
    </row>
    <row r="25" spans="2:29" ht="21" customHeight="1">
      <c r="B25" s="27"/>
      <c r="C25" s="5"/>
      <c r="D25" s="1"/>
      <c r="E25" s="20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39">
        <v>0.1584893192461114</v>
      </c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</row>
    <row r="26" spans="2:29" ht="20" customHeight="1">
      <c r="B26" s="9" t="s">
        <v>68</v>
      </c>
      <c r="C26" s="10" t="s">
        <v>69</v>
      </c>
      <c r="E26" s="2" t="s">
        <v>69</v>
      </c>
      <c r="F26" s="2" t="s">
        <v>70</v>
      </c>
      <c r="Q26" s="39">
        <v>0.199526231496888</v>
      </c>
    </row>
    <row r="27" spans="2:29" ht="20" customHeight="1">
      <c r="C27" s="1" t="s">
        <v>71</v>
      </c>
      <c r="Q27" s="39">
        <v>0.25118864315095812</v>
      </c>
    </row>
    <row r="28" spans="2:29" ht="20" customHeight="1">
      <c r="C28" s="1" t="s">
        <v>72</v>
      </c>
      <c r="Q28" s="39">
        <v>0.31622776601683789</v>
      </c>
    </row>
    <row r="29" spans="2:29" ht="20" customHeight="1">
      <c r="C29" s="1" t="s">
        <v>73</v>
      </c>
      <c r="Q29" s="39">
        <v>0.39810717055349742</v>
      </c>
    </row>
    <row r="30" spans="2:29" ht="20" customHeight="1">
      <c r="Q30" s="39">
        <v>0.50118723362727235</v>
      </c>
    </row>
    <row r="31" spans="2:29" ht="20" customHeight="1">
      <c r="L31" s="16" t="s">
        <v>74</v>
      </c>
      <c r="Q31" s="39">
        <v>0.63095734448019347</v>
      </c>
    </row>
    <row r="32" spans="2:29" ht="20" customHeight="1">
      <c r="Q32" s="39">
        <v>0.79432823472428171</v>
      </c>
    </row>
    <row r="33" spans="17:17" ht="20" customHeight="1">
      <c r="Q33" s="39">
        <v>1</v>
      </c>
    </row>
    <row r="49" spans="1:8">
      <c r="B49" s="12"/>
    </row>
    <row r="50" spans="1:8" ht="79" customHeight="1">
      <c r="B50" s="13" t="s">
        <v>75</v>
      </c>
    </row>
    <row r="52" spans="1:8">
      <c r="A52" s="2" t="s">
        <v>12</v>
      </c>
      <c r="B52" s="1" t="s">
        <v>76</v>
      </c>
      <c r="C52" s="1" t="s">
        <v>77</v>
      </c>
      <c r="D52" s="20" t="s">
        <v>78</v>
      </c>
    </row>
    <row r="53" spans="1:8" ht="21" customHeight="1">
      <c r="A53" s="14" t="s">
        <v>79</v>
      </c>
      <c r="B53" s="31">
        <v>-0.4</v>
      </c>
      <c r="C53" s="32">
        <v>0</v>
      </c>
      <c r="D53" s="32">
        <f>-0.4</f>
        <v>-0.4</v>
      </c>
      <c r="G53" s="33" t="s">
        <v>80</v>
      </c>
    </row>
    <row r="54" spans="1:8" ht="21" customHeight="1">
      <c r="A54" s="14" t="s">
        <v>81</v>
      </c>
      <c r="B54" s="31">
        <f>-0.38</f>
        <v>-0.38</v>
      </c>
      <c r="C54" s="32">
        <v>0</v>
      </c>
      <c r="D54" s="32">
        <v>-0.42</v>
      </c>
      <c r="G54" s="33" t="s">
        <v>82</v>
      </c>
    </row>
    <row r="55" spans="1:8" ht="21" customHeight="1">
      <c r="A55" s="2" t="s">
        <v>83</v>
      </c>
      <c r="B55" s="1"/>
      <c r="D55" s="20"/>
      <c r="G55" s="33" t="s">
        <v>84</v>
      </c>
    </row>
    <row r="56" spans="1:8" ht="19" customHeight="1">
      <c r="A56" s="2" t="s">
        <v>79</v>
      </c>
      <c r="B56" s="21">
        <v>-0.01</v>
      </c>
      <c r="C56" s="21">
        <v>-0.01</v>
      </c>
      <c r="D56" s="17">
        <v>0.58588238229697198</v>
      </c>
      <c r="E56" s="2">
        <f>B56^2+C56^2+D56^2</f>
        <v>0.34345816588597522</v>
      </c>
      <c r="F56" s="2">
        <f>0.6203504908994^2</f>
        <v>0.38483473155912651</v>
      </c>
    </row>
    <row r="57" spans="1:8" ht="19" customHeight="1">
      <c r="A57" s="2" t="s">
        <v>81</v>
      </c>
      <c r="B57" s="21">
        <v>0</v>
      </c>
      <c r="C57" s="21">
        <v>0</v>
      </c>
      <c r="D57" s="17">
        <v>0.57588238229697197</v>
      </c>
      <c r="E57" s="2">
        <f>1/F57</f>
        <v>0.57735026918962584</v>
      </c>
      <c r="F57" s="2">
        <f>SQRT(3)</f>
        <v>1.7320508075688772</v>
      </c>
    </row>
    <row r="58" spans="1:8">
      <c r="A58" s="2" t="s">
        <v>85</v>
      </c>
      <c r="B58" s="1"/>
      <c r="D58" s="20"/>
    </row>
    <row r="59" spans="1:8">
      <c r="A59" s="2" t="s">
        <v>79</v>
      </c>
      <c r="B59" s="1">
        <v>-0.2</v>
      </c>
      <c r="C59" s="1">
        <v>-0.2</v>
      </c>
      <c r="D59" s="1">
        <v>-0.55000000000000004</v>
      </c>
    </row>
    <row r="60" spans="1:8" ht="19" customHeight="1">
      <c r="A60" s="2" t="s">
        <v>81</v>
      </c>
      <c r="B60" s="1">
        <v>0</v>
      </c>
      <c r="C60" s="1">
        <v>0</v>
      </c>
      <c r="D60" s="17">
        <v>-0.6</v>
      </c>
    </row>
    <row r="62" spans="1:8" ht="19" customHeight="1">
      <c r="B62" s="37" t="s">
        <v>86</v>
      </c>
      <c r="C62" s="17">
        <v>0.86707449666846204</v>
      </c>
    </row>
    <row r="63" spans="1:8">
      <c r="H63" s="2">
        <f>0.6203504908994^2</f>
        <v>0.38483473155912651</v>
      </c>
    </row>
    <row r="65" spans="2:2" ht="19" customHeight="1">
      <c r="B65" s="17" t="s">
        <v>87</v>
      </c>
    </row>
    <row r="67" spans="2:2" ht="19" customHeight="1">
      <c r="B67" s="17" t="s">
        <v>88</v>
      </c>
    </row>
    <row r="68" spans="2:2" ht="19" customHeight="1">
      <c r="B68" s="17" t="s">
        <v>89</v>
      </c>
    </row>
    <row r="69" spans="2:2" ht="19" customHeight="1">
      <c r="B69" s="17" t="s">
        <v>90</v>
      </c>
    </row>
    <row r="70" spans="2:2" ht="19" customHeight="1">
      <c r="B70" s="17" t="s">
        <v>91</v>
      </c>
    </row>
  </sheetData>
  <phoneticPr fontId="1"/>
  <dataValidations count="20">
    <dataValidation type="list" allowBlank="1" showInputMessage="1" showErrorMessage="1" sqref="C7" xr:uid="{00000000-0002-0000-0000-000000000000}">
      <formula1>$E$7:$G$7</formula1>
    </dataValidation>
    <dataValidation type="list" allowBlank="1" showInputMessage="1" showErrorMessage="1" sqref="C13" xr:uid="{00000000-0002-0000-0000-000001000000}">
      <formula1>$E$13:$I$13</formula1>
    </dataValidation>
    <dataValidation type="list" allowBlank="1" showInputMessage="1" showErrorMessage="1" sqref="C14" xr:uid="{00000000-0002-0000-0000-000002000000}">
      <formula1>$E$14:$F$14</formula1>
    </dataValidation>
    <dataValidation type="list" allowBlank="1" showInputMessage="1" showErrorMessage="1" sqref="C15" xr:uid="{00000000-0002-0000-0000-000003000000}">
      <formula1>$E$15:$F$15</formula1>
    </dataValidation>
    <dataValidation type="list" allowBlank="1" showInputMessage="1" showErrorMessage="1" sqref="C3" xr:uid="{00000000-0002-0000-0000-000004000000}">
      <formula1>$E$3:$H$3</formula1>
    </dataValidation>
    <dataValidation type="list" allowBlank="1" showInputMessage="1" showErrorMessage="1" sqref="C1" xr:uid="{00000000-0002-0000-0000-000005000000}">
      <formula1>$E$1:$N$1</formula1>
    </dataValidation>
    <dataValidation type="list" allowBlank="1" showInputMessage="1" showErrorMessage="1" sqref="C26" xr:uid="{00000000-0002-0000-0000-000006000000}">
      <formula1>$E$26:$F$26</formula1>
    </dataValidation>
    <dataValidation type="list" allowBlank="1" showInputMessage="1" showErrorMessage="1" sqref="C17" xr:uid="{00000000-0002-0000-0000-000007000000}">
      <formula1>$E$17:$T$17</formula1>
    </dataValidation>
    <dataValidation type="list" allowBlank="1" showInputMessage="1" showErrorMessage="1" sqref="C8" xr:uid="{00000000-0002-0000-0000-000008000000}">
      <formula1>$E$8:$S$8</formula1>
    </dataValidation>
    <dataValidation type="list" allowBlank="1" showInputMessage="1" showErrorMessage="1" sqref="C12" xr:uid="{00000000-0002-0000-0000-000009000000}">
      <formula1>$E$12:$J$12</formula1>
    </dataValidation>
    <dataValidation type="list" allowBlank="1" showInputMessage="1" showErrorMessage="1" sqref="D4" xr:uid="{00000000-0002-0000-0000-00000A000000}">
      <formula1>G4:J4</formula1>
    </dataValidation>
    <dataValidation type="list" allowBlank="1" showInputMessage="1" showErrorMessage="1" sqref="C4" xr:uid="{00000000-0002-0000-0000-00000B000000}">
      <formula1>$E$4:$K$4</formula1>
    </dataValidation>
    <dataValidation type="list" allowBlank="1" showInputMessage="1" showErrorMessage="1" sqref="C16" xr:uid="{00000000-0002-0000-0000-00000C000000}">
      <formula1>$E$16:$I$16</formula1>
    </dataValidation>
    <dataValidation type="list" allowBlank="1" showInputMessage="1" showErrorMessage="1" sqref="C19" xr:uid="{00000000-0002-0000-0000-00000D000000}">
      <formula1>$E$19:$L$19</formula1>
    </dataValidation>
    <dataValidation type="list" allowBlank="1" showInputMessage="1" showErrorMessage="1" sqref="C18" xr:uid="{00000000-0002-0000-0000-00000E000000}">
      <formula1>$E$18:$L$18</formula1>
    </dataValidation>
    <dataValidation type="list" allowBlank="1" showInputMessage="1" showErrorMessage="1" sqref="C23" xr:uid="{00000000-0002-0000-0000-00000F000000}">
      <formula1>$E$23:$N$23</formula1>
    </dataValidation>
    <dataValidation type="list" allowBlank="1" showInputMessage="1" showErrorMessage="1" sqref="C21" xr:uid="{00000000-0002-0000-0000-000010000000}">
      <formula1>$E$21:$P$21</formula1>
    </dataValidation>
    <dataValidation type="list" allowBlank="1" showInputMessage="1" showErrorMessage="1" sqref="C24" xr:uid="{00000000-0002-0000-0000-000011000000}">
      <formula1>$E$24:$M$24</formula1>
    </dataValidation>
    <dataValidation type="list" allowBlank="1" showInputMessage="1" showErrorMessage="1" sqref="C9" xr:uid="{00000000-0002-0000-0000-000012000000}">
      <formula1>$E$9:$AB$9</formula1>
    </dataValidation>
    <dataValidation type="list" allowBlank="1" showInputMessage="1" showErrorMessage="1" sqref="C5 E5:P5" xr:uid="{00000000-0002-0000-0000-000013000000}">
      <formula1>$E$5:$P$5</formula1>
    </dataValidation>
  </dataValidations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J31"/>
  <sheetViews>
    <sheetView showGridLines="0" zoomScale="75" zoomScaleNormal="51" workbookViewId="0">
      <selection activeCell="D16" sqref="D16"/>
    </sheetView>
  </sheetViews>
  <sheetFormatPr baseColWidth="10" defaultRowHeight="20" customHeight="1"/>
  <cols>
    <col min="1" max="1" width="23.7109375" style="84" customWidth="1"/>
    <col min="2" max="2" width="19.140625" style="84" customWidth="1"/>
    <col min="3" max="3" width="14" style="84" customWidth="1"/>
    <col min="4" max="4" width="14.28515625" style="84" customWidth="1"/>
    <col min="5" max="5" width="15.140625" style="84" customWidth="1"/>
    <col min="6" max="6" width="3.42578125" style="84" customWidth="1"/>
    <col min="7" max="7" width="23" style="84" customWidth="1"/>
    <col min="8" max="8" width="10.85546875" style="84" customWidth="1"/>
    <col min="9" max="10" width="10.7109375" style="84" customWidth="1"/>
    <col min="11" max="16384" width="10.7109375" style="84"/>
  </cols>
  <sheetData>
    <row r="1" spans="1:10" ht="20" customHeight="1">
      <c r="A1" s="92" t="s">
        <v>92</v>
      </c>
      <c r="B1" s="84" t="s">
        <v>4</v>
      </c>
    </row>
    <row r="2" spans="1:10" ht="20" customHeight="1">
      <c r="A2" s="92" t="s">
        <v>93</v>
      </c>
      <c r="B2" s="84" t="s">
        <v>15</v>
      </c>
      <c r="C2" s="92" t="s">
        <v>94</v>
      </c>
      <c r="D2" s="86">
        <f>B4^(1/3)</f>
        <v>2.5198420997897459</v>
      </c>
      <c r="J2" s="85"/>
    </row>
    <row r="3" spans="1:10" ht="20" customHeight="1">
      <c r="A3" s="91" t="s">
        <v>95</v>
      </c>
      <c r="B3" s="84">
        <v>60</v>
      </c>
      <c r="C3" s="91" t="s">
        <v>96</v>
      </c>
      <c r="D3" s="84">
        <v>7</v>
      </c>
      <c r="J3" s="85"/>
    </row>
    <row r="4" spans="1:10" ht="20" customHeight="1">
      <c r="A4" s="91" t="str">
        <f>IF( B11&gt;=1, "volume (μl)", "too small")</f>
        <v>volume (μl)</v>
      </c>
      <c r="B4" s="84">
        <v>16</v>
      </c>
      <c r="C4" s="92" t="s">
        <v>97</v>
      </c>
      <c r="D4" s="86">
        <f>(3*B4/(4*PI()))^(1/3)</f>
        <v>1.563185283593544</v>
      </c>
      <c r="J4" s="85"/>
    </row>
    <row r="5" spans="1:10" ht="20" customHeight="1">
      <c r="A5" s="91" t="s">
        <v>98</v>
      </c>
      <c r="B5" s="84" t="s">
        <v>34</v>
      </c>
      <c r="J5" s="85"/>
    </row>
    <row r="6" spans="1:10" ht="20" customHeight="1">
      <c r="A6" s="91" t="s">
        <v>99</v>
      </c>
      <c r="B6" s="87">
        <v>100000</v>
      </c>
      <c r="J6" s="85"/>
    </row>
    <row r="7" spans="1:10" ht="20" customHeight="1">
      <c r="A7" s="91" t="s">
        <v>100</v>
      </c>
      <c r="B7" s="84" t="s">
        <v>33</v>
      </c>
      <c r="C7" s="91" t="s">
        <v>101</v>
      </c>
      <c r="D7" s="84">
        <v>0</v>
      </c>
      <c r="J7" s="85"/>
    </row>
    <row r="8" spans="1:10" ht="20" customHeight="1">
      <c r="A8" s="91" t="s">
        <v>102</v>
      </c>
      <c r="B8" s="84" t="s">
        <v>33</v>
      </c>
      <c r="C8" s="91" t="s">
        <v>103</v>
      </c>
      <c r="D8" s="84">
        <v>60</v>
      </c>
      <c r="J8" s="85"/>
    </row>
    <row r="9" spans="1:10" ht="20" customHeight="1">
      <c r="A9" s="93" t="s">
        <v>104</v>
      </c>
      <c r="B9" s="84">
        <v>1</v>
      </c>
      <c r="J9" s="85"/>
    </row>
    <row r="10" spans="1:10" ht="20" customHeight="1">
      <c r="A10" s="91" t="s">
        <v>37</v>
      </c>
      <c r="B10" s="84">
        <v>0</v>
      </c>
      <c r="J10" s="85"/>
    </row>
    <row r="11" spans="1:10" ht="20" customHeight="1">
      <c r="A11" s="95" t="s">
        <v>105</v>
      </c>
      <c r="B11" s="84">
        <f>INT(ROUNDDOWN((B6/1000)*B4,0))</f>
        <v>1600</v>
      </c>
      <c r="J11" s="85"/>
    </row>
    <row r="12" spans="1:10" ht="20" customHeight="1">
      <c r="A12" s="95" t="s">
        <v>106</v>
      </c>
      <c r="B12" s="84">
        <v>0</v>
      </c>
      <c r="G12" s="88"/>
    </row>
    <row r="13" spans="1:10" ht="20" customHeight="1">
      <c r="A13" s="95" t="s">
        <v>107</v>
      </c>
      <c r="B13" s="84">
        <v>0.13</v>
      </c>
    </row>
    <row r="14" spans="1:10" ht="20" customHeight="1">
      <c r="A14" s="95" t="s">
        <v>108</v>
      </c>
      <c r="B14" s="84">
        <v>0.2</v>
      </c>
      <c r="E14" s="89"/>
    </row>
    <row r="15" spans="1:10" ht="20" customHeight="1">
      <c r="A15" s="96" t="s">
        <v>109</v>
      </c>
      <c r="B15" s="84">
        <f>B13*B14</f>
        <v>2.6000000000000002E-2</v>
      </c>
      <c r="E15" s="89"/>
    </row>
    <row r="16" spans="1:10" ht="20" customHeight="1">
      <c r="A16" s="95" t="s">
        <v>25</v>
      </c>
      <c r="B16" s="89">
        <v>0.1</v>
      </c>
      <c r="E16" s="89"/>
    </row>
    <row r="17" spans="1:10" ht="20" customHeight="1">
      <c r="A17" s="95" t="s">
        <v>110</v>
      </c>
      <c r="B17" s="90">
        <f>B9*60/B14</f>
        <v>300</v>
      </c>
      <c r="E17" s="89"/>
    </row>
    <row r="18" spans="1:10" ht="20" customHeight="1">
      <c r="A18" s="95" t="s">
        <v>111</v>
      </c>
      <c r="B18" s="87">
        <f>IF(B12&gt;0,B12,B17*B11)</f>
        <v>480000</v>
      </c>
    </row>
    <row r="19" spans="1:10" ht="20" customHeight="1">
      <c r="A19" s="95" t="s">
        <v>112</v>
      </c>
      <c r="B19" s="84">
        <v>2</v>
      </c>
      <c r="D19" s="85"/>
    </row>
    <row r="20" spans="1:10" ht="20" customHeight="1">
      <c r="A20" s="94" t="s">
        <v>113</v>
      </c>
      <c r="B20" s="84">
        <f>ROUND(B19/B14,0)</f>
        <v>10</v>
      </c>
    </row>
    <row r="21" spans="1:10" ht="20" customHeight="1">
      <c r="A21" s="97" t="s">
        <v>114</v>
      </c>
      <c r="B21" s="84">
        <v>0.15</v>
      </c>
    </row>
    <row r="22" spans="1:10" ht="20" customHeight="1">
      <c r="A22" s="97" t="s">
        <v>115</v>
      </c>
      <c r="B22" s="84">
        <v>0.05</v>
      </c>
    </row>
    <row r="23" spans="1:10" ht="20" customHeight="1">
      <c r="A23" s="97" t="s">
        <v>116</v>
      </c>
      <c r="B23" s="84" t="s">
        <v>18</v>
      </c>
    </row>
    <row r="24" spans="1:10" ht="20" customHeight="1">
      <c r="J24" s="85"/>
    </row>
    <row r="25" spans="1:10" ht="20" customHeight="1">
      <c r="B25" s="84" t="s">
        <v>15</v>
      </c>
      <c r="C25" s="84" t="s">
        <v>117</v>
      </c>
    </row>
    <row r="26" spans="1:10" ht="20" customHeight="1">
      <c r="A26" s="84" t="s">
        <v>118</v>
      </c>
      <c r="B26" s="84">
        <f>IF(B$2="CEROS",values!E24,values!C24)</f>
        <v>7.5</v>
      </c>
      <c r="C26" s="86">
        <f>B4^(1/3)/2</f>
        <v>1.259921049894873</v>
      </c>
    </row>
    <row r="27" spans="1:10" ht="20" customHeight="1">
      <c r="A27" s="84" t="s">
        <v>119</v>
      </c>
      <c r="B27" s="84">
        <f>IF(B$2="CEROS",values!E25,values!C25)</f>
        <v>-7.5</v>
      </c>
      <c r="C27" s="86">
        <f>-C26</f>
        <v>-1.259921049894873</v>
      </c>
    </row>
    <row r="28" spans="1:10" ht="20" customHeight="1">
      <c r="A28" s="84" t="s">
        <v>120</v>
      </c>
      <c r="B28" s="84">
        <f>IF(B$2="CEROS",values!E26,values!C26)</f>
        <v>10.5</v>
      </c>
      <c r="C28" s="86">
        <f>B4^(1/3)/2</f>
        <v>1.259921049894873</v>
      </c>
    </row>
    <row r="29" spans="1:10" ht="20" customHeight="1">
      <c r="A29" s="84" t="s">
        <v>121</v>
      </c>
      <c r="B29" s="84">
        <f>IF(B$2="CEROS",values!E27,values!C27)</f>
        <v>-10.5</v>
      </c>
      <c r="C29" s="86">
        <f>-C28</f>
        <v>-1.259921049894873</v>
      </c>
    </row>
    <row r="30" spans="1:10" ht="20" customHeight="1">
      <c r="A30" s="84" t="s">
        <v>122</v>
      </c>
      <c r="B30" s="84">
        <f>IF(B$2="CEROS",values!E28,values!C28)</f>
        <v>0.05</v>
      </c>
      <c r="C30" s="86">
        <f>B4^(1/3)/2</f>
        <v>1.259921049894873</v>
      </c>
    </row>
    <row r="31" spans="1:10" ht="20" customHeight="1">
      <c r="A31" s="84" t="s">
        <v>123</v>
      </c>
      <c r="B31" s="84">
        <f>IF(B$2="CEROS",values!E29,values!C29)</f>
        <v>-0.05</v>
      </c>
      <c r="C31" s="86">
        <f>-C30</f>
        <v>-1.259921049894873</v>
      </c>
    </row>
  </sheetData>
  <phoneticPr fontId="1"/>
  <conditionalFormatting sqref="E3:E4 A4">
    <cfRule type="expression" dxfId="1" priority="1">
      <formula>"if($H$17&lt;1,True, False)"</formula>
    </cfRule>
  </conditionalFormatting>
  <dataValidations count="3">
    <dataValidation type="decimal" operator="greaterThan" allowBlank="1" showInputMessage="1" showErrorMessage="1" sqref="H5:H11 B19" xr:uid="{00000000-0002-0000-0100-000000000000}">
      <formula1>0</formula1>
    </dataValidation>
    <dataValidation type="whole" showInputMessage="1" showErrorMessage="1" sqref="B12" xr:uid="{00000000-0002-0000-0100-000001000000}">
      <formula1>0</formula1>
      <formula2>1000</formula2>
    </dataValidation>
    <dataValidation type="whole" allowBlank="1" showInputMessage="1" showErrorMessage="1" sqref="D7" xr:uid="{00000000-0002-0000-0100-000002000000}">
      <formula1>0</formula1>
      <formula2>B17</formula2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O25"/>
  <sheetViews>
    <sheetView showGridLines="0" tabSelected="1" topLeftCell="A3" zoomScale="83" zoomScaleNormal="51" workbookViewId="0">
      <selection activeCell="D5" sqref="D5"/>
    </sheetView>
  </sheetViews>
  <sheetFormatPr baseColWidth="10" defaultRowHeight="20"/>
  <cols>
    <col min="1" max="1" width="19.7109375" style="52" customWidth="1"/>
    <col min="2" max="2" width="19.140625" style="52" customWidth="1"/>
    <col min="3" max="3" width="3.140625" style="52" customWidth="1"/>
    <col min="4" max="4" width="15.85546875" style="52" customWidth="1"/>
    <col min="5" max="5" width="15.140625" style="52" customWidth="1"/>
    <col min="6" max="6" width="3.42578125" style="52" customWidth="1"/>
    <col min="7" max="7" width="19" style="52" customWidth="1"/>
    <col min="8" max="8" width="10.85546875" style="52" customWidth="1"/>
    <col min="9" max="10" width="10.7109375" style="52" customWidth="1"/>
    <col min="11" max="16384" width="10.7109375" style="52"/>
  </cols>
  <sheetData>
    <row r="1" spans="1:15">
      <c r="A1" s="52" t="s">
        <v>124</v>
      </c>
      <c r="B1" s="52" t="s">
        <v>125</v>
      </c>
      <c r="C1" s="52" t="s">
        <v>126</v>
      </c>
      <c r="D1" s="52" t="s">
        <v>127</v>
      </c>
      <c r="E1" s="52" t="s">
        <v>128</v>
      </c>
      <c r="F1" s="52" t="s">
        <v>129</v>
      </c>
      <c r="G1" s="52" t="s">
        <v>130</v>
      </c>
      <c r="H1" s="52" t="s">
        <v>131</v>
      </c>
      <c r="I1" s="52" t="s">
        <v>132</v>
      </c>
      <c r="J1" s="52" t="s">
        <v>133</v>
      </c>
      <c r="K1" s="52" t="s">
        <v>134</v>
      </c>
      <c r="L1" s="52" t="s">
        <v>135</v>
      </c>
      <c r="M1" s="52" t="s">
        <v>136</v>
      </c>
      <c r="N1" s="52" t="s">
        <v>137</v>
      </c>
      <c r="O1" s="52" t="s">
        <v>138</v>
      </c>
    </row>
    <row r="2" spans="1:15" ht="33" customHeight="1">
      <c r="A2" s="64" t="s">
        <v>139</v>
      </c>
      <c r="B2" s="65"/>
      <c r="D2" s="76" t="s">
        <v>140</v>
      </c>
      <c r="N2" s="52" t="s">
        <v>219</v>
      </c>
      <c r="O2" s="52" t="s">
        <v>141</v>
      </c>
    </row>
    <row r="3" spans="1:15" ht="27" customHeight="1">
      <c r="A3" s="66" t="s">
        <v>92</v>
      </c>
      <c r="B3" s="81" t="s">
        <v>4</v>
      </c>
      <c r="D3" s="82" t="s">
        <v>98</v>
      </c>
      <c r="E3" s="99" t="str">
        <f>IF(B3="reflection_check","yes","no")</f>
        <v>no</v>
      </c>
      <c r="F3" s="60"/>
      <c r="G3" s="52" t="s">
        <v>143</v>
      </c>
      <c r="H3" s="52" t="s">
        <v>185</v>
      </c>
      <c r="I3" s="110" t="s">
        <v>234</v>
      </c>
      <c r="J3" s="110" t="s">
        <v>235</v>
      </c>
      <c r="K3" s="52" t="s">
        <v>145</v>
      </c>
      <c r="M3" s="52" t="str">
        <f>B4</f>
        <v>spot</v>
      </c>
      <c r="N3" s="52">
        <v>40</v>
      </c>
      <c r="O3" s="52">
        <v>15</v>
      </c>
    </row>
    <row r="4" spans="1:15" ht="33" customHeight="1">
      <c r="A4" s="66" t="s">
        <v>93</v>
      </c>
      <c r="B4" s="80" t="s">
        <v>13</v>
      </c>
      <c r="D4" s="61">
        <v>5</v>
      </c>
      <c r="E4" s="70" t="s">
        <v>202</v>
      </c>
      <c r="F4" s="54"/>
      <c r="G4" s="75" t="s">
        <v>146</v>
      </c>
      <c r="J4" s="17">
        <v>3.4506365554777797E-2</v>
      </c>
      <c r="K4" s="52" t="s">
        <v>12</v>
      </c>
      <c r="L4" s="52" t="s">
        <v>118</v>
      </c>
      <c r="M4" s="52">
        <f>IF($B$4="cube", B$17/2, IF($B$4="drop", B22, IF($B$4="spot", B21, IF($B$4="CEROS", values!E24, ""))))</f>
        <v>1.5750499731618304</v>
      </c>
      <c r="N4" s="121" t="s">
        <v>258</v>
      </c>
      <c r="O4" s="121">
        <v>10</v>
      </c>
    </row>
    <row r="5" spans="1:15" ht="34" customHeight="1">
      <c r="A5" s="67" t="s">
        <v>99</v>
      </c>
      <c r="B5" s="55">
        <v>3162</v>
      </c>
      <c r="D5" s="98">
        <v>4</v>
      </c>
      <c r="E5" s="51" t="s">
        <v>147</v>
      </c>
      <c r="F5" s="54"/>
      <c r="G5" s="52" t="s">
        <v>112</v>
      </c>
      <c r="H5" s="52">
        <v>2</v>
      </c>
      <c r="J5" s="17">
        <v>0.95702494840063601</v>
      </c>
      <c r="L5" s="52" t="s">
        <v>119</v>
      </c>
      <c r="M5" s="52">
        <f>IF($B$4="cube", -B$17/2, IF($B$4="drop", -B$22, IF($B$4="spot", -B21, IF($B$4="CEROS", values!E25, ""))))</f>
        <v>-1.5750499731618304</v>
      </c>
    </row>
    <row r="6" spans="1:15" ht="28" customHeight="1">
      <c r="A6" s="67" t="s">
        <v>106</v>
      </c>
      <c r="B6" s="59"/>
      <c r="D6" s="78" t="s">
        <v>262</v>
      </c>
      <c r="E6" s="58">
        <v>2</v>
      </c>
      <c r="G6" s="69" t="s">
        <v>113</v>
      </c>
      <c r="H6" s="52">
        <f>ROUND(H5*E6,0)</f>
        <v>4</v>
      </c>
      <c r="J6" s="52">
        <f>J4*J5</f>
        <v>3.3023452714554702E-2</v>
      </c>
      <c r="L6" s="52" t="s">
        <v>120</v>
      </c>
      <c r="M6" s="52">
        <f>IF($B$4="cube", B$17/2, IF($B$4="drop", B$22, IF($B$4="spot", B21, IF($B$4="CEROS", values!E26, ""))))</f>
        <v>1.5750499731618304</v>
      </c>
    </row>
    <row r="7" spans="1:15" ht="19" customHeight="1">
      <c r="A7" s="67" t="s">
        <v>148</v>
      </c>
      <c r="B7" s="52">
        <v>0.13</v>
      </c>
      <c r="C7" s="54"/>
      <c r="D7" s="78" t="s">
        <v>25</v>
      </c>
      <c r="E7" s="83">
        <v>0.4</v>
      </c>
      <c r="G7" s="65" t="s">
        <v>209</v>
      </c>
      <c r="H7" s="52">
        <v>70</v>
      </c>
      <c r="J7" s="52">
        <f>J4-J6</f>
        <v>1.4829128402230954E-3</v>
      </c>
      <c r="L7" s="52" t="s">
        <v>121</v>
      </c>
      <c r="M7" s="52">
        <f>IF($B$4="cube", -B$17/2, IF($B$4="drop",- B$22, IF($B$4="spot", -B21, IF($B$4="CEROS", values!E27, ""))))</f>
        <v>-1.5750499731618304</v>
      </c>
    </row>
    <row r="8" spans="1:15">
      <c r="A8" s="49" t="s">
        <v>149</v>
      </c>
      <c r="B8" s="104">
        <f>B7/E6</f>
        <v>6.5000000000000002E-2</v>
      </c>
      <c r="G8" s="52" t="s">
        <v>150</v>
      </c>
      <c r="H8" s="100">
        <f>RADIANS(H7)</f>
        <v>1.2217304763960306</v>
      </c>
      <c r="L8" s="52" t="s">
        <v>122</v>
      </c>
      <c r="M8" s="52">
        <f>IF($B$4="cube", B$17/2, IF($B$4="drop", B$22, IF($B$4="spot", B19, IF($B$4="CEROS", values!E28, ""))))</f>
        <v>1.676133171977602</v>
      </c>
    </row>
    <row r="9" spans="1:15" ht="33" customHeight="1">
      <c r="A9" s="64" t="s">
        <v>151</v>
      </c>
      <c r="B9" s="65"/>
      <c r="D9" s="52" t="s">
        <v>216</v>
      </c>
      <c r="E9" s="52">
        <v>60</v>
      </c>
      <c r="G9" s="58" t="s">
        <v>263</v>
      </c>
      <c r="H9" s="52">
        <v>3</v>
      </c>
      <c r="K9" s="52">
        <f>15*10^(-3/4)</f>
        <v>2.6674191150583835</v>
      </c>
      <c r="L9" s="52" t="s">
        <v>123</v>
      </c>
      <c r="M9" s="52">
        <f>IF($B$4="cube", -B$17/2, IF($B$4="drop", -B$22, IF($B$4="spot", B20, IF($B$4="CEROS", values!E29, ""))))</f>
        <v>0.57327130771268731</v>
      </c>
    </row>
    <row r="10" spans="1:15">
      <c r="A10" s="66" t="s">
        <v>213</v>
      </c>
      <c r="B10" s="60" t="s">
        <v>266</v>
      </c>
      <c r="D10" s="65" t="s">
        <v>217</v>
      </c>
      <c r="E10" s="52">
        <f>360/E9</f>
        <v>6</v>
      </c>
      <c r="G10" s="65" t="s">
        <v>152</v>
      </c>
      <c r="H10" s="58" t="s">
        <v>34</v>
      </c>
    </row>
    <row r="11" spans="1:15">
      <c r="A11" s="66"/>
      <c r="B11" s="60"/>
      <c r="D11" s="65" t="s">
        <v>37</v>
      </c>
      <c r="E11" s="52" t="s">
        <v>265</v>
      </c>
      <c r="F11" s="74"/>
      <c r="G11" s="74" t="s">
        <v>79</v>
      </c>
      <c r="H11" s="74" t="s">
        <v>81</v>
      </c>
      <c r="I11" s="52" t="s">
        <v>153</v>
      </c>
      <c r="J11" s="33"/>
      <c r="K11" s="52" t="s">
        <v>154</v>
      </c>
      <c r="M11" s="52" t="s">
        <v>155</v>
      </c>
    </row>
    <row r="12" spans="1:15">
      <c r="A12" s="66" t="s">
        <v>116</v>
      </c>
      <c r="B12" s="60" t="s">
        <v>18</v>
      </c>
      <c r="F12" s="74" t="str">
        <f>IF($H$10="no", "", "x")</f>
        <v/>
      </c>
      <c r="G12" s="52">
        <v>-0.3</v>
      </c>
      <c r="H12" s="52">
        <v>-0.25</v>
      </c>
      <c r="I12" s="52">
        <v>0</v>
      </c>
      <c r="J12" s="52">
        <v>0</v>
      </c>
      <c r="K12" s="52">
        <v>0.7</v>
      </c>
      <c r="L12" s="52">
        <v>0.75</v>
      </c>
      <c r="M12" s="52">
        <v>0</v>
      </c>
      <c r="N12" s="52">
        <v>0</v>
      </c>
    </row>
    <row r="13" spans="1:15">
      <c r="A13" s="107" t="s">
        <v>102</v>
      </c>
      <c r="B13" s="107" t="s">
        <v>259</v>
      </c>
      <c r="D13" s="52" t="s">
        <v>101</v>
      </c>
      <c r="E13" s="52">
        <v>0</v>
      </c>
      <c r="F13" s="74" t="str">
        <f>IF($H$10="no", "", "y")</f>
        <v/>
      </c>
      <c r="G13" s="52">
        <v>0</v>
      </c>
      <c r="H13" s="52">
        <v>0</v>
      </c>
      <c r="I13" s="52">
        <v>0.4</v>
      </c>
      <c r="J13" s="52">
        <v>0.46</v>
      </c>
      <c r="K13" s="52">
        <v>0</v>
      </c>
      <c r="L13" s="52">
        <v>0</v>
      </c>
      <c r="M13" s="52">
        <v>0</v>
      </c>
      <c r="N13" s="52">
        <v>0</v>
      </c>
    </row>
    <row r="14" spans="1:15">
      <c r="A14" s="73" t="s">
        <v>100</v>
      </c>
      <c r="B14" s="60" t="s">
        <v>33</v>
      </c>
      <c r="C14" s="62"/>
      <c r="D14" s="52" t="s">
        <v>103</v>
      </c>
      <c r="E14" s="52">
        <v>60</v>
      </c>
      <c r="F14" s="74" t="str">
        <f>IF($H$10="no", "", "z")</f>
        <v/>
      </c>
      <c r="G14" s="52">
        <v>1.1000000000000001</v>
      </c>
      <c r="H14" s="52">
        <v>1.1000000000000001</v>
      </c>
      <c r="I14" s="52">
        <v>0</v>
      </c>
      <c r="J14" s="52">
        <v>0</v>
      </c>
      <c r="K14" s="52">
        <v>1.1000000000000001</v>
      </c>
      <c r="L14" s="52">
        <v>1.1000000000000001</v>
      </c>
      <c r="M14" s="52">
        <v>1.1000000000000001</v>
      </c>
      <c r="N14" s="52">
        <v>1.1000000000000001</v>
      </c>
    </row>
    <row r="15" spans="1:15">
      <c r="A15" s="106" t="s">
        <v>203</v>
      </c>
      <c r="B15" s="60" t="s">
        <v>33</v>
      </c>
      <c r="G15" s="52">
        <v>0</v>
      </c>
      <c r="H15" s="52">
        <v>0</v>
      </c>
    </row>
    <row r="16" spans="1:15" ht="33" customHeight="1">
      <c r="A16" s="64" t="s">
        <v>156</v>
      </c>
      <c r="B16" s="65"/>
      <c r="G16" s="52">
        <v>0.7</v>
      </c>
      <c r="H16" s="52">
        <v>0.75</v>
      </c>
      <c r="K16" s="52">
        <f>1.414768^2</f>
        <v>2.0015684938240002</v>
      </c>
    </row>
    <row r="17" spans="1:10">
      <c r="A17" s="66" t="s">
        <v>94</v>
      </c>
      <c r="B17" s="63">
        <f>D4^(1/3)</f>
        <v>1.7099759466766968</v>
      </c>
      <c r="D17" s="68" t="s">
        <v>97</v>
      </c>
      <c r="E17" s="63">
        <f>(3*D4/(4*PI()))^(1/3)</f>
        <v>1.0607844179470554</v>
      </c>
      <c r="G17" s="52">
        <v>1.1000000000000001</v>
      </c>
      <c r="H17" s="52">
        <v>1.1000000000000001</v>
      </c>
    </row>
    <row r="18" spans="1:10" ht="33" customHeight="1">
      <c r="A18" s="67" t="s">
        <v>110</v>
      </c>
      <c r="B18" s="77">
        <f>D5*60/E6</f>
        <v>120</v>
      </c>
      <c r="D18" s="65" t="s">
        <v>111</v>
      </c>
      <c r="E18" s="57">
        <f>B18*H18</f>
        <v>1800</v>
      </c>
      <c r="G18" s="65" t="s">
        <v>105</v>
      </c>
      <c r="H18" s="59">
        <f>INT(ROUNDDOWN((B5/1000)*D4,0))</f>
        <v>15</v>
      </c>
    </row>
    <row r="19" spans="1:10">
      <c r="A19" s="52" t="s">
        <v>157</v>
      </c>
      <c r="B19" s="52">
        <f>((3*D4)/(PI()*(1-COS(H8))^2*(2+COS(H8))))^(1/3)</f>
        <v>1.676133171977602</v>
      </c>
      <c r="D19" s="52" t="s">
        <v>201</v>
      </c>
      <c r="E19" s="103">
        <f>IF(B4="drop", E18 / (B22^2 * PI()), IF(B4="cube", E18 / (B17^2), IF(B4="spot", E18 / (B21^2 * PI()), "Invalid Shape")))</f>
        <v>230.95850364928509</v>
      </c>
      <c r="H19" s="101"/>
    </row>
    <row r="20" spans="1:10" ht="27" customHeight="1">
      <c r="A20" s="52" t="s">
        <v>158</v>
      </c>
      <c r="B20" s="52">
        <f>B19*COS(H8)</f>
        <v>0.57327130771268731</v>
      </c>
      <c r="D20" s="102" t="s">
        <v>267</v>
      </c>
    </row>
    <row r="21" spans="1:10">
      <c r="A21" s="52" t="s">
        <v>159</v>
      </c>
      <c r="B21" s="52">
        <f>B19*SIN(H8)</f>
        <v>1.5750499731618304</v>
      </c>
      <c r="E21" s="52">
        <f>D4^(1/3)</f>
        <v>1.7099759466766968</v>
      </c>
    </row>
    <row r="22" spans="1:10">
      <c r="A22" s="52" t="s">
        <v>160</v>
      </c>
      <c r="B22" s="52">
        <f>((3 * D4) / (4 * PI())) ^ (1/3)</f>
        <v>1.0607844179470554</v>
      </c>
      <c r="E22" s="52">
        <f>E18*B8</f>
        <v>117</v>
      </c>
    </row>
    <row r="23" spans="1:10">
      <c r="A23" s="52" t="s">
        <v>212</v>
      </c>
      <c r="B23" s="52">
        <f>IF(B10="COC", 0.15, 0.05)</f>
        <v>0.15</v>
      </c>
      <c r="G23" s="17">
        <f>-0.9162078  -0.57890639</f>
        <v>-1.49511419</v>
      </c>
      <c r="I23" s="110" t="s">
        <v>257</v>
      </c>
      <c r="J23" s="110" t="s">
        <v>256</v>
      </c>
    </row>
    <row r="24" spans="1:10">
      <c r="G24" s="52">
        <f>-0.9162078^2+  0.57890639^2</f>
        <v>1.1745693411636722</v>
      </c>
    </row>
    <row r="25" spans="1:10">
      <c r="A25" s="52">
        <v>0.86327808755819269</v>
      </c>
      <c r="G25" s="52">
        <f>1.08377550295785^2</f>
        <v>1.1745693408115407</v>
      </c>
    </row>
  </sheetData>
  <phoneticPr fontId="1"/>
  <dataValidations count="4">
    <dataValidation type="whole" showInputMessage="1" showErrorMessage="1" sqref="B6" xr:uid="{00000000-0002-0000-0200-000000000000}">
      <formula1>0</formula1>
      <formula2>1000</formula2>
    </dataValidation>
    <dataValidation type="custom" allowBlank="1" showInputMessage="1" showErrorMessage="1" sqref="D15" xr:uid="{00000000-0002-0000-0200-000001000000}">
      <formula1>"&lt;(E17+1)"</formula1>
    </dataValidation>
    <dataValidation type="whole" allowBlank="1" showInputMessage="1" showErrorMessage="1" sqref="E13" xr:uid="{00000000-0002-0000-0200-000002000000}">
      <formula1>0</formula1>
      <formula2>B18</formula2>
    </dataValidation>
    <dataValidation type="decimal" operator="greaterThan" allowBlank="1" showInputMessage="1" showErrorMessage="1" sqref="H5" xr:uid="{00000000-0002-0000-0200-000003000000}">
      <formula1>0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4">
        <x14:dataValidation type="list" allowBlank="1" showInputMessage="1" showErrorMessage="1" xr:uid="{69C7FD42-F441-4A43-94C7-137846D993A3}">
          <x14:formula1>
            <xm:f>values!$C$8:$S$8</xm:f>
          </x14:formula1>
          <xm:sqref>D5</xm:sqref>
        </x14:dataValidation>
        <x14:dataValidation type="list" allowBlank="1" showInputMessage="1" showErrorMessage="1" xr:uid="{AECD6AC8-8EF4-6E48-9F59-DBC5A4E997D2}">
          <x14:formula1>
            <xm:f>values!$C$7:$N$7</xm:f>
          </x14:formula1>
          <xm:sqref>E6</xm:sqref>
        </x14:dataValidation>
        <x14:dataValidation type="list" allowBlank="1" showInputMessage="1" showErrorMessage="1" xr:uid="{EB42D7AB-5AD6-8F4C-AE7B-60F4BC68EEA0}">
          <x14:formula1>
            <xm:f>values!$B$30:$B$35</xm:f>
          </x14:formula1>
          <xm:sqref>H3</xm:sqref>
        </x14:dataValidation>
        <x14:dataValidation type="list" allowBlank="1" showInputMessage="1" showErrorMessage="1" xr:uid="{ADB222FD-44FB-1D43-98E9-C0037C6AA519}">
          <x14:formula1>
            <xm:f>values!$C$16:$D$16</xm:f>
          </x14:formula1>
          <xm:sqref>B13:B15</xm:sqref>
        </x14:dataValidation>
        <x14:dataValidation type="list" allowBlank="1" showInputMessage="1" showErrorMessage="1" xr:uid="{098403CA-3389-BE4A-B3BB-E8E9BBAF30E2}">
          <x14:formula1>
            <xm:f>values!$C$6:$S$6</xm:f>
          </x14:formula1>
          <xm:sqref>E7</xm:sqref>
        </x14:dataValidation>
        <x14:dataValidation type="list" allowBlank="1" showInputMessage="1" showErrorMessage="1" xr:uid="{62667862-83CC-084A-9569-430DA252BB50}">
          <x14:formula1>
            <xm:f>values!$C$10:$G$10</xm:f>
          </x14:formula1>
          <xm:sqref>B12</xm:sqref>
        </x14:dataValidation>
        <x14:dataValidation type="list" allowBlank="1" showInputMessage="1" showErrorMessage="1" xr:uid="{3553BC97-6A95-0545-8320-A2B6476A4413}">
          <x14:formula1>
            <xm:f>values!$C$41:$D$41</xm:f>
          </x14:formula1>
          <xm:sqref>B10</xm:sqref>
        </x14:dataValidation>
        <x14:dataValidation type="list" allowBlank="1" showInputMessage="1" showErrorMessage="1" xr:uid="{619266FB-0C95-F845-B529-95D084BB0A74}">
          <x14:formula1>
            <xm:f>values!$C$13:$H$13</xm:f>
          </x14:formula1>
          <xm:sqref>E9</xm:sqref>
        </x14:dataValidation>
        <x14:dataValidation type="list" allowBlank="1" showInputMessage="1" showErrorMessage="1" xr:uid="{087A6A3D-8D96-5646-B3C6-2B8A2A9828C0}">
          <x14:formula1>
            <xm:f>values!$C$1:$P$1</xm:f>
          </x14:formula1>
          <xm:sqref>B3</xm:sqref>
        </x14:dataValidation>
        <x14:dataValidation type="list" allowBlank="1" showInputMessage="1" showErrorMessage="1" xr:uid="{0BA4A6EC-C90D-8B47-8B2C-666342BBD89F}">
          <x14:formula1>
            <xm:f>values!$C$14:$I$14</xm:f>
          </x14:formula1>
          <xm:sqref>E11</xm:sqref>
        </x14:dataValidation>
        <x14:dataValidation type="list" allowBlank="1" showInputMessage="1" showErrorMessage="1" xr:uid="{59733AA0-69B8-FB4E-8974-A4AC19A9EEFA}">
          <x14:formula1>
            <xm:f>values!$C$22:$K$22</xm:f>
          </x14:formula1>
          <xm:sqref>H9</xm:sqref>
        </x14:dataValidation>
        <x14:dataValidation type="list" allowBlank="1" showInputMessage="1" showErrorMessage="1" xr:uid="{E112B6B3-5375-D94D-A0D3-57B4DF164D72}">
          <x14:formula1>
            <xm:f>values!$E$3:$N$3</xm:f>
          </x14:formula1>
          <xm:sqref>D4</xm:sqref>
        </x14:dataValidation>
        <x14:dataValidation type="list" allowBlank="1" showInputMessage="1" showErrorMessage="1" xr:uid="{BED131B3-854B-F845-B786-45B37C775C7C}">
          <x14:formula1>
            <xm:f>values!$E$4:$M$4</xm:f>
          </x14:formula1>
          <xm:sqref>B5</xm:sqref>
        </x14:dataValidation>
        <x14:dataValidation type="list" allowBlank="1" showInputMessage="1" showErrorMessage="1" xr:uid="{EAFD5A45-884C-BD4D-9057-2193E99D1025}">
          <x14:formula1>
            <xm:f>values!$E$2:$H$2</xm:f>
          </x14:formula1>
          <xm:sqref>B4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EFA77E-3675-BD4C-A830-0602BEB75212}">
  <dimension ref="A1"/>
  <sheetViews>
    <sheetView workbookViewId="0">
      <selection activeCell="D20" sqref="D20"/>
    </sheetView>
  </sheetViews>
  <sheetFormatPr baseColWidth="10" defaultRowHeight="20"/>
  <sheetData/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N24"/>
  <sheetViews>
    <sheetView showGridLines="0" zoomScaleNormal="51" workbookViewId="0">
      <selection activeCell="B13" sqref="B13"/>
    </sheetView>
  </sheetViews>
  <sheetFormatPr baseColWidth="10" defaultRowHeight="20"/>
  <cols>
    <col min="1" max="1" width="13.42578125" style="52" customWidth="1"/>
    <col min="2" max="2" width="19.140625" style="52" customWidth="1"/>
    <col min="3" max="3" width="3.140625" style="52" customWidth="1"/>
    <col min="4" max="4" width="14.28515625" style="52" customWidth="1"/>
    <col min="5" max="5" width="15.140625" style="52" customWidth="1"/>
    <col min="6" max="6" width="3.42578125" style="52" customWidth="1"/>
    <col min="7" max="7" width="19" style="52" customWidth="1"/>
    <col min="8" max="8" width="10.85546875" style="52" customWidth="1"/>
    <col min="9" max="10" width="10.7109375" style="52" customWidth="1"/>
    <col min="11" max="16384" width="10.7109375" style="52"/>
  </cols>
  <sheetData>
    <row r="1" spans="1:14" ht="33" customHeight="1">
      <c r="A1" s="64" t="s">
        <v>161</v>
      </c>
      <c r="B1" s="65"/>
      <c r="D1" s="76" t="str">
        <f>IF(B5="","Caution!! 0 or numbers in B5","")</f>
        <v/>
      </c>
    </row>
    <row r="2" spans="1:14" ht="31" customHeight="1">
      <c r="A2" s="66" t="s">
        <v>92</v>
      </c>
      <c r="B2" s="53" t="s">
        <v>4</v>
      </c>
      <c r="D2" s="53"/>
      <c r="E2" s="53"/>
      <c r="G2" s="53"/>
      <c r="H2" s="60"/>
    </row>
    <row r="3" spans="1:14" ht="33" customHeight="1">
      <c r="A3" s="66" t="s">
        <v>93</v>
      </c>
      <c r="B3" s="54" t="s">
        <v>162</v>
      </c>
      <c r="D3" s="61">
        <v>4</v>
      </c>
      <c r="E3" s="70" t="str">
        <f>IF( H17&gt;=1, "volume (μl)", "too small")</f>
        <v>volume (μl)</v>
      </c>
      <c r="F3" s="54"/>
      <c r="G3" s="75" t="s">
        <v>163</v>
      </c>
      <c r="J3" s="17">
        <v>3.4506365554777797E-2</v>
      </c>
    </row>
    <row r="4" spans="1:14" ht="34" customHeight="1">
      <c r="A4" s="67" t="s">
        <v>99</v>
      </c>
      <c r="B4" s="55">
        <v>10000</v>
      </c>
      <c r="D4" s="61">
        <v>2</v>
      </c>
      <c r="E4" s="51" t="s">
        <v>147</v>
      </c>
      <c r="F4" s="54"/>
      <c r="G4" s="52" t="s">
        <v>164</v>
      </c>
      <c r="H4" s="52">
        <v>2</v>
      </c>
      <c r="J4" s="17">
        <v>0.95702494840063601</v>
      </c>
    </row>
    <row r="5" spans="1:14" ht="28" customHeight="1">
      <c r="A5" s="67" t="s">
        <v>106</v>
      </c>
      <c r="B5" s="59">
        <v>0</v>
      </c>
      <c r="D5" s="78" t="s">
        <v>108</v>
      </c>
      <c r="E5" s="58">
        <v>1.4999999999999999E-2</v>
      </c>
      <c r="G5" s="69" t="s">
        <v>165</v>
      </c>
      <c r="H5" s="52">
        <f>H4/E5</f>
        <v>133.33333333333334</v>
      </c>
      <c r="J5" s="52">
        <f>J3*J4</f>
        <v>3.3023452714554702E-2</v>
      </c>
    </row>
    <row r="6" spans="1:14" ht="19" customHeight="1">
      <c r="A6" s="67" t="s">
        <v>109</v>
      </c>
      <c r="B6" s="52">
        <v>0.2</v>
      </c>
      <c r="C6" s="54"/>
      <c r="D6" s="78" t="s">
        <v>25</v>
      </c>
      <c r="E6" s="79">
        <v>0.4</v>
      </c>
      <c r="G6" s="65" t="s">
        <v>95</v>
      </c>
      <c r="H6" s="52">
        <v>10</v>
      </c>
      <c r="J6" s="52">
        <f>J3-J5</f>
        <v>1.4829128402230954E-3</v>
      </c>
    </row>
    <row r="7" spans="1:14">
      <c r="A7" s="49"/>
    </row>
    <row r="8" spans="1:14" ht="33" customHeight="1">
      <c r="A8" s="64" t="s">
        <v>151</v>
      </c>
      <c r="B8" s="65"/>
      <c r="K8" s="52">
        <f>15*10^(-3/4)</f>
        <v>2.6674191150583835</v>
      </c>
    </row>
    <row r="9" spans="1:14">
      <c r="A9" s="66" t="s">
        <v>114</v>
      </c>
      <c r="B9" s="60">
        <v>0.15</v>
      </c>
      <c r="D9" s="65" t="s">
        <v>96</v>
      </c>
      <c r="E9" s="52">
        <v>7</v>
      </c>
      <c r="G9" s="65" t="s">
        <v>152</v>
      </c>
      <c r="H9" s="58" t="s">
        <v>34</v>
      </c>
    </row>
    <row r="10" spans="1:14">
      <c r="A10" s="66" t="s">
        <v>115</v>
      </c>
      <c r="B10" s="60">
        <v>0.05</v>
      </c>
      <c r="D10" s="65" t="s">
        <v>37</v>
      </c>
      <c r="E10" s="52">
        <v>0</v>
      </c>
      <c r="F10" s="74"/>
      <c r="G10" s="74" t="s">
        <v>79</v>
      </c>
      <c r="H10" s="74" t="s">
        <v>81</v>
      </c>
      <c r="I10" s="52" t="s">
        <v>153</v>
      </c>
      <c r="J10" s="33"/>
      <c r="K10" s="52" t="s">
        <v>154</v>
      </c>
      <c r="M10" s="52" t="s">
        <v>155</v>
      </c>
    </row>
    <row r="11" spans="1:14">
      <c r="A11" s="66" t="s">
        <v>116</v>
      </c>
      <c r="B11" s="60" t="s">
        <v>18</v>
      </c>
      <c r="F11" s="74" t="str">
        <f>IF($H$9="no", "", "x")</f>
        <v/>
      </c>
      <c r="G11" s="52">
        <v>-0.3</v>
      </c>
      <c r="H11" s="52">
        <v>-0.25</v>
      </c>
      <c r="I11" s="52">
        <v>0</v>
      </c>
      <c r="J11" s="52">
        <v>0</v>
      </c>
      <c r="K11" s="52">
        <v>0.7</v>
      </c>
      <c r="L11" s="52">
        <v>0.75</v>
      </c>
      <c r="M11" s="52">
        <v>0</v>
      </c>
      <c r="N11" s="52">
        <v>0</v>
      </c>
    </row>
    <row r="12" spans="1:14">
      <c r="A12" s="73" t="s">
        <v>102</v>
      </c>
      <c r="B12" s="60" t="s">
        <v>34</v>
      </c>
      <c r="D12" s="52" t="s">
        <v>101</v>
      </c>
      <c r="E12" s="52">
        <v>0</v>
      </c>
      <c r="F12" s="74" t="str">
        <f>IF($H$9="no", "", "y")</f>
        <v/>
      </c>
      <c r="G12" s="52">
        <v>0</v>
      </c>
      <c r="H12" s="52">
        <v>0</v>
      </c>
      <c r="I12" s="52">
        <v>0.4</v>
      </c>
      <c r="J12" s="52">
        <v>0.46</v>
      </c>
      <c r="K12" s="52">
        <v>0</v>
      </c>
      <c r="L12" s="52">
        <v>0</v>
      </c>
      <c r="M12" s="52">
        <v>0</v>
      </c>
      <c r="N12" s="52">
        <v>0</v>
      </c>
    </row>
    <row r="13" spans="1:14">
      <c r="A13" s="73" t="s">
        <v>100</v>
      </c>
      <c r="B13" s="60" t="s">
        <v>34</v>
      </c>
      <c r="C13" s="62"/>
      <c r="D13" s="52" t="s">
        <v>103</v>
      </c>
      <c r="E13" s="52">
        <v>60</v>
      </c>
      <c r="F13" s="74" t="str">
        <f>IF($H$9="no", "", "z")</f>
        <v/>
      </c>
      <c r="G13" s="52">
        <v>1.1000000000000001</v>
      </c>
      <c r="H13" s="52">
        <v>1.1000000000000001</v>
      </c>
      <c r="I13" s="52">
        <v>0</v>
      </c>
      <c r="J13" s="52">
        <v>0</v>
      </c>
      <c r="K13" s="52">
        <v>1.1000000000000001</v>
      </c>
      <c r="L13" s="52">
        <v>1.1000000000000001</v>
      </c>
      <c r="M13" s="52">
        <v>1.1000000000000001</v>
      </c>
      <c r="N13" s="52">
        <v>1.1000000000000001</v>
      </c>
    </row>
    <row r="14" spans="1:14">
      <c r="G14" s="52">
        <v>0</v>
      </c>
      <c r="H14" s="52">
        <v>0</v>
      </c>
    </row>
    <row r="15" spans="1:14" ht="33" customHeight="1">
      <c r="A15" s="64" t="s">
        <v>156</v>
      </c>
      <c r="B15" s="65"/>
      <c r="G15" s="52">
        <v>0.7</v>
      </c>
      <c r="H15" s="52">
        <v>0.75</v>
      </c>
      <c r="K15" s="52">
        <f>1.414768^2</f>
        <v>2.0015684938240002</v>
      </c>
    </row>
    <row r="16" spans="1:14">
      <c r="A16" s="66" t="s">
        <v>94</v>
      </c>
      <c r="B16" s="63">
        <f>D3^(1/3)</f>
        <v>1.5874010519681994</v>
      </c>
      <c r="D16" s="68" t="s">
        <v>97</v>
      </c>
      <c r="E16" s="63">
        <f>(3*D3/(4*PI()))^(1/3)</f>
        <v>0.98474502184269652</v>
      </c>
      <c r="G16" s="52">
        <v>1.1000000000000001</v>
      </c>
      <c r="H16" s="52">
        <v>1.1000000000000001</v>
      </c>
    </row>
    <row r="17" spans="1:8" ht="33" customHeight="1">
      <c r="A17" s="67" t="s">
        <v>110</v>
      </c>
      <c r="B17" s="77">
        <f>D4*60/E5</f>
        <v>8000</v>
      </c>
      <c r="D17" s="65" t="s">
        <v>111</v>
      </c>
      <c r="E17" s="57">
        <f>IF(B5&gt;0,B5,B17*H17)</f>
        <v>320000</v>
      </c>
      <c r="G17" s="65" t="s">
        <v>105</v>
      </c>
      <c r="H17" s="59">
        <f>INT(ROUNDDOWN((B4/1000)*D3,0))</f>
        <v>40</v>
      </c>
    </row>
    <row r="22" spans="1:8">
      <c r="G22" s="17">
        <f>-0.9162078  -0.57890639</f>
        <v>-1.49511419</v>
      </c>
    </row>
    <row r="23" spans="1:8">
      <c r="G23" s="52">
        <f>-0.9162078^2+  0.57890639^2</f>
        <v>1.1745693411636722</v>
      </c>
    </row>
    <row r="24" spans="1:8">
      <c r="G24" s="52">
        <f>1.08377550295785^2</f>
        <v>1.1745693408115407</v>
      </c>
    </row>
  </sheetData>
  <phoneticPr fontId="1"/>
  <conditionalFormatting sqref="E3">
    <cfRule type="expression" dxfId="0" priority="1">
      <formula>"if($H$17&lt;1,True, False)"</formula>
    </cfRule>
  </conditionalFormatting>
  <dataValidations count="3">
    <dataValidation type="whole" allowBlank="1" showInputMessage="1" showErrorMessage="1" sqref="E12" xr:uid="{00000000-0002-0000-0300-000000000000}">
      <formula1>0</formula1>
      <formula2>B17</formula2>
    </dataValidation>
    <dataValidation type="custom" allowBlank="1" showInputMessage="1" showErrorMessage="1" sqref="D14" xr:uid="{00000000-0002-0000-0300-000001000000}">
      <formula1>"&lt;(E17+1)"</formula1>
    </dataValidation>
    <dataValidation type="whole" showInputMessage="1" showErrorMessage="1" sqref="B5" xr:uid="{00000000-0002-0000-0300-000002000000}">
      <formula1>0</formula1>
      <formula2>1000</formula2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"/>
  <sheetViews>
    <sheetView workbookViewId="0">
      <selection activeCell="A4" sqref="A4"/>
    </sheetView>
  </sheetViews>
  <sheetFormatPr baseColWidth="10" defaultRowHeight="20"/>
  <sheetData/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B1:AE41"/>
  <sheetViews>
    <sheetView zoomScale="125" workbookViewId="0">
      <selection activeCell="D4" sqref="D4"/>
    </sheetView>
  </sheetViews>
  <sheetFormatPr baseColWidth="10" defaultRowHeight="20"/>
  <cols>
    <col min="2" max="2" width="20.28515625" style="105" customWidth="1"/>
    <col min="3" max="3" width="11.85546875" style="105" customWidth="1"/>
    <col min="4" max="4" width="12" style="105" customWidth="1"/>
    <col min="5" max="5" width="12.140625" style="105" customWidth="1"/>
    <col min="7" max="7" width="12.140625" style="105" customWidth="1"/>
    <col min="8" max="8" width="12.28515625" style="105" customWidth="1"/>
  </cols>
  <sheetData>
    <row r="1" spans="2:30">
      <c r="B1" t="s">
        <v>92</v>
      </c>
      <c r="C1" t="s">
        <v>218</v>
      </c>
      <c r="D1" s="46" t="s">
        <v>1</v>
      </c>
      <c r="E1" s="46" t="s">
        <v>2</v>
      </c>
      <c r="F1" s="46" t="s">
        <v>3</v>
      </c>
      <c r="G1" s="46" t="s">
        <v>9</v>
      </c>
      <c r="H1" s="46" t="s">
        <v>10</v>
      </c>
      <c r="I1" s="46" t="s">
        <v>166</v>
      </c>
      <c r="J1" t="s">
        <v>142</v>
      </c>
    </row>
    <row r="2" spans="2:30">
      <c r="B2" t="s">
        <v>167</v>
      </c>
      <c r="E2" t="s">
        <v>12</v>
      </c>
      <c r="F2" t="s">
        <v>14</v>
      </c>
      <c r="G2" t="s">
        <v>13</v>
      </c>
      <c r="H2" t="s">
        <v>15</v>
      </c>
    </row>
    <row r="3" spans="2:30">
      <c r="B3" t="s">
        <v>168</v>
      </c>
      <c r="E3">
        <v>1</v>
      </c>
      <c r="F3">
        <v>5</v>
      </c>
      <c r="G3">
        <v>10</v>
      </c>
      <c r="H3">
        <v>20</v>
      </c>
      <c r="I3">
        <v>50</v>
      </c>
      <c r="J3">
        <v>100</v>
      </c>
      <c r="K3">
        <v>200</v>
      </c>
      <c r="M3">
        <v>200</v>
      </c>
      <c r="N3">
        <v>1000</v>
      </c>
    </row>
    <row r="4" spans="2:30">
      <c r="B4" t="s">
        <v>169</v>
      </c>
      <c r="E4">
        <v>100</v>
      </c>
      <c r="F4">
        <v>316</v>
      </c>
      <c r="G4" s="56">
        <v>1000</v>
      </c>
      <c r="H4" s="56">
        <v>3162</v>
      </c>
      <c r="I4" s="56">
        <v>10000</v>
      </c>
      <c r="J4" s="56">
        <v>20000</v>
      </c>
      <c r="K4" s="56">
        <v>31620</v>
      </c>
      <c r="L4" s="56">
        <v>100000</v>
      </c>
      <c r="M4" s="56">
        <v>300000</v>
      </c>
    </row>
    <row r="5" spans="2:30">
      <c r="B5" t="s">
        <v>109</v>
      </c>
      <c r="C5" s="47">
        <v>0.1</v>
      </c>
      <c r="D5">
        <v>0.12</v>
      </c>
      <c r="E5">
        <v>0.13</v>
      </c>
      <c r="F5">
        <v>0.14000000000000001</v>
      </c>
      <c r="G5">
        <v>0.15</v>
      </c>
      <c r="H5">
        <v>-1</v>
      </c>
    </row>
    <row r="6" spans="2:30">
      <c r="B6" t="s">
        <v>25</v>
      </c>
      <c r="C6">
        <v>0.01</v>
      </c>
      <c r="D6" s="46" t="s">
        <v>170</v>
      </c>
      <c r="E6" s="46" t="s">
        <v>171</v>
      </c>
      <c r="F6">
        <v>0.05</v>
      </c>
      <c r="G6">
        <v>0.1</v>
      </c>
      <c r="H6">
        <v>0.2</v>
      </c>
      <c r="I6">
        <v>0.3</v>
      </c>
      <c r="J6" s="48">
        <v>0.4</v>
      </c>
      <c r="K6">
        <v>0.5</v>
      </c>
      <c r="L6">
        <v>0.6</v>
      </c>
      <c r="M6">
        <v>0.7</v>
      </c>
      <c r="N6">
        <v>0.8</v>
      </c>
      <c r="O6" s="48">
        <v>1.6</v>
      </c>
      <c r="P6">
        <v>3.2</v>
      </c>
      <c r="Q6" s="42">
        <v>6.4</v>
      </c>
      <c r="R6" s="42">
        <v>12.8</v>
      </c>
      <c r="S6" s="42">
        <v>0</v>
      </c>
    </row>
    <row r="7" spans="2:30">
      <c r="B7" t="s">
        <v>261</v>
      </c>
      <c r="C7">
        <v>0.5</v>
      </c>
      <c r="D7">
        <v>1</v>
      </c>
      <c r="E7">
        <v>2</v>
      </c>
      <c r="F7">
        <v>3</v>
      </c>
      <c r="G7">
        <v>4</v>
      </c>
      <c r="H7">
        <v>5</v>
      </c>
      <c r="J7">
        <v>0.8</v>
      </c>
      <c r="K7">
        <v>1.6</v>
      </c>
      <c r="L7">
        <v>-1</v>
      </c>
      <c r="M7" t="s">
        <v>172</v>
      </c>
      <c r="N7">
        <v>1</v>
      </c>
    </row>
    <row r="8" spans="2:30">
      <c r="B8" t="s">
        <v>173</v>
      </c>
      <c r="C8">
        <v>0.1</v>
      </c>
      <c r="D8">
        <v>0.2</v>
      </c>
      <c r="E8">
        <v>1</v>
      </c>
      <c r="F8">
        <v>10</v>
      </c>
      <c r="G8">
        <v>30</v>
      </c>
      <c r="H8">
        <v>60</v>
      </c>
      <c r="I8">
        <v>90</v>
      </c>
      <c r="J8">
        <v>120</v>
      </c>
      <c r="L8">
        <v>4</v>
      </c>
      <c r="M8">
        <v>8</v>
      </c>
      <c r="N8">
        <v>16</v>
      </c>
      <c r="O8">
        <v>16</v>
      </c>
      <c r="P8">
        <v>30</v>
      </c>
      <c r="Q8">
        <v>60</v>
      </c>
      <c r="R8">
        <v>0.6</v>
      </c>
      <c r="S8">
        <v>0.7</v>
      </c>
      <c r="T8">
        <v>0.8</v>
      </c>
    </row>
    <row r="9" spans="2:30">
      <c r="B9" t="s">
        <v>95</v>
      </c>
      <c r="D9">
        <v>10</v>
      </c>
      <c r="E9">
        <v>20</v>
      </c>
      <c r="F9">
        <v>30</v>
      </c>
      <c r="G9">
        <v>40</v>
      </c>
      <c r="H9">
        <v>50</v>
      </c>
      <c r="I9">
        <v>60</v>
      </c>
      <c r="J9">
        <v>70</v>
      </c>
      <c r="K9">
        <v>80</v>
      </c>
      <c r="L9">
        <v>90</v>
      </c>
    </row>
    <row r="10" spans="2:30">
      <c r="B10" t="s">
        <v>116</v>
      </c>
      <c r="C10" s="50" t="s">
        <v>17</v>
      </c>
      <c r="D10" s="50" t="s">
        <v>18</v>
      </c>
      <c r="E10" s="50" t="s">
        <v>211</v>
      </c>
      <c r="F10" s="50" t="s">
        <v>210</v>
      </c>
      <c r="G10" s="50" t="s">
        <v>20</v>
      </c>
    </row>
    <row r="11" spans="2:30">
      <c r="B11" t="s">
        <v>174</v>
      </c>
      <c r="C11">
        <v>0.05</v>
      </c>
      <c r="D11">
        <v>0.13</v>
      </c>
      <c r="E11">
        <v>0.15</v>
      </c>
      <c r="F11">
        <v>0.17</v>
      </c>
    </row>
    <row r="12" spans="2:30">
      <c r="B12" t="s">
        <v>175</v>
      </c>
      <c r="C12">
        <v>1</v>
      </c>
      <c r="D12">
        <v>2</v>
      </c>
      <c r="E12">
        <v>3</v>
      </c>
      <c r="F12">
        <v>4</v>
      </c>
      <c r="G12">
        <v>5</v>
      </c>
      <c r="H12">
        <v>6</v>
      </c>
      <c r="I12">
        <v>7</v>
      </c>
      <c r="J12">
        <v>8</v>
      </c>
      <c r="K12">
        <v>9</v>
      </c>
      <c r="L12">
        <v>10</v>
      </c>
    </row>
    <row r="13" spans="2:30">
      <c r="B13" t="s">
        <v>216</v>
      </c>
      <c r="C13">
        <v>50</v>
      </c>
      <c r="D13">
        <v>60</v>
      </c>
      <c r="E13">
        <v>70</v>
      </c>
      <c r="F13">
        <v>80</v>
      </c>
      <c r="G13">
        <v>90</v>
      </c>
      <c r="H13">
        <v>100</v>
      </c>
    </row>
    <row r="14" spans="2:30">
      <c r="B14" t="s">
        <v>37</v>
      </c>
      <c r="C14" s="105" t="s">
        <v>264</v>
      </c>
      <c r="D14">
        <v>0</v>
      </c>
      <c r="E14">
        <v>1</v>
      </c>
      <c r="F14">
        <v>2</v>
      </c>
      <c r="G14">
        <v>3</v>
      </c>
      <c r="H14">
        <v>4</v>
      </c>
      <c r="I14">
        <v>5</v>
      </c>
    </row>
    <row r="15" spans="2:30">
      <c r="B15" t="s">
        <v>176</v>
      </c>
      <c r="C15" s="71" t="s">
        <v>177</v>
      </c>
      <c r="D15" t="s">
        <v>178</v>
      </c>
      <c r="E15" s="1" t="s">
        <v>46</v>
      </c>
      <c r="F15" s="1" t="s">
        <v>44</v>
      </c>
      <c r="G15" s="1" t="s">
        <v>45</v>
      </c>
      <c r="H15" s="1" t="s">
        <v>47</v>
      </c>
      <c r="I15" s="1" t="s">
        <v>42</v>
      </c>
      <c r="J15" s="1" t="s">
        <v>48</v>
      </c>
      <c r="K15" s="1" t="s">
        <v>49</v>
      </c>
      <c r="L15" s="1" t="s">
        <v>50</v>
      </c>
      <c r="M15" s="1" t="s">
        <v>51</v>
      </c>
      <c r="N15" s="1" t="s">
        <v>52</v>
      </c>
      <c r="O15" s="1" t="s">
        <v>53</v>
      </c>
      <c r="P15" s="1" t="s">
        <v>54</v>
      </c>
      <c r="Q15" s="1" t="s">
        <v>55</v>
      </c>
      <c r="R15" s="1" t="s">
        <v>56</v>
      </c>
      <c r="S15" s="1" t="s">
        <v>57</v>
      </c>
      <c r="T15" s="1" t="s">
        <v>58</v>
      </c>
      <c r="U15" s="1" t="s">
        <v>59</v>
      </c>
      <c r="V15" s="1" t="s">
        <v>60</v>
      </c>
      <c r="W15" s="1" t="s">
        <v>61</v>
      </c>
      <c r="X15" s="1" t="s">
        <v>62</v>
      </c>
      <c r="Y15" s="1" t="s">
        <v>45</v>
      </c>
      <c r="Z15" s="1" t="s">
        <v>63</v>
      </c>
      <c r="AA15" s="1" t="s">
        <v>64</v>
      </c>
      <c r="AB15" s="1" t="s">
        <v>65</v>
      </c>
      <c r="AC15" s="1" t="s">
        <v>179</v>
      </c>
      <c r="AD15" s="1" t="s">
        <v>180</v>
      </c>
    </row>
    <row r="16" spans="2:30">
      <c r="B16" t="s">
        <v>181</v>
      </c>
      <c r="C16" s="49" t="s">
        <v>33</v>
      </c>
      <c r="D16" s="49" t="s">
        <v>34</v>
      </c>
    </row>
    <row r="17" spans="2:31">
      <c r="B17" s="105" t="s">
        <v>260</v>
      </c>
      <c r="C17" s="105" t="s">
        <v>264</v>
      </c>
      <c r="D17">
        <v>0</v>
      </c>
      <c r="E17">
        <v>1</v>
      </c>
      <c r="F17">
        <v>2</v>
      </c>
      <c r="G17">
        <v>3</v>
      </c>
      <c r="H17">
        <v>4</v>
      </c>
      <c r="I17">
        <v>5</v>
      </c>
      <c r="J17">
        <v>6</v>
      </c>
      <c r="K17">
        <v>8</v>
      </c>
      <c r="L17">
        <v>9</v>
      </c>
      <c r="M17">
        <v>10</v>
      </c>
      <c r="N17">
        <v>11</v>
      </c>
      <c r="O17">
        <v>12</v>
      </c>
      <c r="P17">
        <v>13</v>
      </c>
      <c r="Q17">
        <v>14</v>
      </c>
      <c r="R17">
        <v>15</v>
      </c>
      <c r="S17">
        <v>16</v>
      </c>
      <c r="T17">
        <v>17</v>
      </c>
      <c r="U17">
        <v>18</v>
      </c>
      <c r="V17">
        <v>19</v>
      </c>
      <c r="W17">
        <v>20</v>
      </c>
      <c r="X17">
        <v>21</v>
      </c>
      <c r="Y17">
        <v>22</v>
      </c>
      <c r="Z17">
        <v>23</v>
      </c>
      <c r="AA17">
        <v>24</v>
      </c>
      <c r="AB17">
        <v>25</v>
      </c>
      <c r="AC17">
        <v>26</v>
      </c>
      <c r="AD17">
        <v>27</v>
      </c>
      <c r="AE17">
        <v>28</v>
      </c>
    </row>
    <row r="18" spans="2:31">
      <c r="B18" t="s">
        <v>98</v>
      </c>
      <c r="C18" t="s">
        <v>34</v>
      </c>
      <c r="D18" t="s">
        <v>33</v>
      </c>
    </row>
    <row r="19" spans="2:31">
      <c r="C19" s="71" t="s">
        <v>177</v>
      </c>
      <c r="D19" t="s">
        <v>178</v>
      </c>
      <c r="E19" s="1" t="s">
        <v>46</v>
      </c>
      <c r="F19" s="1" t="s">
        <v>44</v>
      </c>
      <c r="G19" s="1" t="s">
        <v>45</v>
      </c>
      <c r="H19" s="1" t="s">
        <v>47</v>
      </c>
      <c r="I19" s="1" t="s">
        <v>42</v>
      </c>
      <c r="J19" s="1" t="s">
        <v>48</v>
      </c>
      <c r="K19" s="1" t="s">
        <v>49</v>
      </c>
      <c r="L19" s="1" t="s">
        <v>50</v>
      </c>
      <c r="M19" s="1" t="s">
        <v>51</v>
      </c>
      <c r="N19" s="1" t="s">
        <v>52</v>
      </c>
      <c r="O19" s="1" t="s">
        <v>53</v>
      </c>
      <c r="P19" s="1" t="s">
        <v>54</v>
      </c>
      <c r="Q19" s="1" t="s">
        <v>55</v>
      </c>
      <c r="R19" s="1" t="s">
        <v>56</v>
      </c>
      <c r="S19" s="1" t="s">
        <v>57</v>
      </c>
      <c r="T19" s="1" t="s">
        <v>58</v>
      </c>
      <c r="U19" s="1" t="s">
        <v>59</v>
      </c>
      <c r="V19" s="1" t="s">
        <v>60</v>
      </c>
      <c r="W19" s="1" t="s">
        <v>61</v>
      </c>
      <c r="X19" s="1" t="s">
        <v>62</v>
      </c>
      <c r="Y19" s="1" t="s">
        <v>45</v>
      </c>
      <c r="Z19" s="1" t="s">
        <v>63</v>
      </c>
      <c r="AA19" s="1" t="s">
        <v>64</v>
      </c>
      <c r="AB19" s="1" t="s">
        <v>65</v>
      </c>
      <c r="AC19" s="1" t="s">
        <v>179</v>
      </c>
      <c r="AD19" s="1" t="s">
        <v>180</v>
      </c>
    </row>
    <row r="20" spans="2:31">
      <c r="B20" t="s">
        <v>145</v>
      </c>
      <c r="C20" t="s">
        <v>12</v>
      </c>
      <c r="D20" t="s">
        <v>182</v>
      </c>
      <c r="E20" t="s">
        <v>13</v>
      </c>
      <c r="F20" t="s">
        <v>183</v>
      </c>
      <c r="G20" t="s">
        <v>15</v>
      </c>
      <c r="H20" t="s">
        <v>142</v>
      </c>
    </row>
    <row r="21" spans="2:31">
      <c r="C21" t="s">
        <v>184</v>
      </c>
      <c r="D21" t="s">
        <v>185</v>
      </c>
      <c r="E21" t="s">
        <v>144</v>
      </c>
      <c r="F21" t="s">
        <v>186</v>
      </c>
      <c r="G21" t="s">
        <v>187</v>
      </c>
      <c r="H21" t="s">
        <v>188</v>
      </c>
      <c r="I21" t="s">
        <v>189</v>
      </c>
    </row>
    <row r="22" spans="2:31">
      <c r="B22" s="105" t="s">
        <v>263</v>
      </c>
      <c r="C22" s="105">
        <v>1</v>
      </c>
      <c r="D22" s="105">
        <v>2</v>
      </c>
      <c r="E22" s="105">
        <v>3</v>
      </c>
      <c r="F22" s="105">
        <v>5</v>
      </c>
      <c r="G22" s="105">
        <v>6</v>
      </c>
      <c r="H22" s="105">
        <v>9</v>
      </c>
      <c r="I22" s="105">
        <v>10</v>
      </c>
      <c r="J22" s="105">
        <v>30</v>
      </c>
    </row>
    <row r="23" spans="2:31">
      <c r="B23" s="52"/>
      <c r="C23" s="52" t="s">
        <v>12</v>
      </c>
      <c r="E23" s="52" t="s">
        <v>15</v>
      </c>
      <c r="G23" t="s">
        <v>14</v>
      </c>
      <c r="I23" s="52" t="s">
        <v>13</v>
      </c>
    </row>
    <row r="24" spans="2:31">
      <c r="B24" s="52" t="s">
        <v>118</v>
      </c>
      <c r="C24" s="52">
        <f>new!D$4^(1/3)/2</f>
        <v>0.85498797333834842</v>
      </c>
      <c r="E24" s="52">
        <v>7.5</v>
      </c>
    </row>
    <row r="25" spans="2:31">
      <c r="B25" s="52" t="s">
        <v>119</v>
      </c>
      <c r="C25" s="52">
        <f>-new!D$4^(1/3)/2</f>
        <v>-0.85498797333834842</v>
      </c>
      <c r="E25" s="52">
        <v>-7.5</v>
      </c>
    </row>
    <row r="26" spans="2:31">
      <c r="B26" s="52" t="s">
        <v>120</v>
      </c>
      <c r="C26" s="52">
        <f>new!D$4^(1/3)/2</f>
        <v>0.85498797333834842</v>
      </c>
      <c r="E26" s="52">
        <v>10.5</v>
      </c>
    </row>
    <row r="27" spans="2:31">
      <c r="B27" s="52" t="s">
        <v>121</v>
      </c>
      <c r="C27" s="52">
        <f>-new!D$4^(1/3)/2</f>
        <v>-0.85498797333834842</v>
      </c>
      <c r="E27" s="52">
        <v>-10.5</v>
      </c>
    </row>
    <row r="28" spans="2:31">
      <c r="B28" s="52" t="s">
        <v>122</v>
      </c>
      <c r="C28" s="52">
        <f>new!D$4^(1/3)/2</f>
        <v>0.85498797333834842</v>
      </c>
      <c r="E28" s="52">
        <v>0.05</v>
      </c>
    </row>
    <row r="29" spans="2:31">
      <c r="B29" s="52" t="s">
        <v>123</v>
      </c>
      <c r="C29" s="52">
        <f>-new!D$4^(1/3)/2</f>
        <v>-0.85498797333834842</v>
      </c>
      <c r="E29" s="52">
        <v>-0.05</v>
      </c>
    </row>
    <row r="30" spans="2:31">
      <c r="B30" s="118" t="s">
        <v>185</v>
      </c>
      <c r="C30" s="108" t="s">
        <v>222</v>
      </c>
      <c r="D30" s="108" t="s">
        <v>223</v>
      </c>
      <c r="E30" s="109" t="s">
        <v>200</v>
      </c>
      <c r="F30" s="109" t="s">
        <v>204</v>
      </c>
      <c r="G30" s="110" t="s">
        <v>220</v>
      </c>
      <c r="H30" s="110" t="s">
        <v>221</v>
      </c>
      <c r="I30" s="119" t="s">
        <v>234</v>
      </c>
      <c r="J30" s="119" t="s">
        <v>235</v>
      </c>
    </row>
    <row r="31" spans="2:31">
      <c r="B31" s="118" t="s">
        <v>144</v>
      </c>
      <c r="C31" s="108" t="s">
        <v>229</v>
      </c>
      <c r="D31" s="108" t="s">
        <v>224</v>
      </c>
      <c r="E31" s="111"/>
      <c r="F31" s="109"/>
      <c r="G31" s="110" t="s">
        <v>244</v>
      </c>
      <c r="H31" s="110" t="s">
        <v>245</v>
      </c>
      <c r="I31" s="119" t="s">
        <v>236</v>
      </c>
      <c r="J31" s="119" t="s">
        <v>237</v>
      </c>
    </row>
    <row r="32" spans="2:31">
      <c r="B32" s="118" t="s">
        <v>186</v>
      </c>
      <c r="C32" s="108" t="s">
        <v>228</v>
      </c>
      <c r="D32" s="108" t="s">
        <v>225</v>
      </c>
      <c r="E32" s="109" t="s">
        <v>205</v>
      </c>
      <c r="F32" s="109" t="s">
        <v>206</v>
      </c>
      <c r="G32" s="110" t="s">
        <v>246</v>
      </c>
      <c r="H32" s="110" t="s">
        <v>247</v>
      </c>
      <c r="I32" s="119" t="s">
        <v>238</v>
      </c>
      <c r="J32" s="119" t="s">
        <v>239</v>
      </c>
    </row>
    <row r="33" spans="2:10">
      <c r="B33" s="118" t="s">
        <v>187</v>
      </c>
      <c r="C33" s="108" t="s">
        <v>227</v>
      </c>
      <c r="D33" s="108" t="s">
        <v>226</v>
      </c>
      <c r="E33" s="111"/>
      <c r="F33" s="109"/>
      <c r="G33" s="110" t="s">
        <v>252</v>
      </c>
      <c r="H33" s="110" t="s">
        <v>253</v>
      </c>
      <c r="I33" s="119" t="s">
        <v>254</v>
      </c>
      <c r="J33" s="119" t="s">
        <v>255</v>
      </c>
    </row>
    <row r="34" spans="2:10">
      <c r="B34" s="118" t="s">
        <v>188</v>
      </c>
      <c r="C34" s="108" t="s">
        <v>230</v>
      </c>
      <c r="D34" s="108" t="s">
        <v>231</v>
      </c>
      <c r="E34" s="109" t="s">
        <v>207</v>
      </c>
      <c r="F34" s="109" t="s">
        <v>208</v>
      </c>
      <c r="G34" s="110" t="s">
        <v>248</v>
      </c>
      <c r="H34" s="110" t="s">
        <v>249</v>
      </c>
      <c r="I34" s="119" t="s">
        <v>240</v>
      </c>
      <c r="J34" s="119" t="s">
        <v>241</v>
      </c>
    </row>
    <row r="35" spans="2:10">
      <c r="B35" s="118" t="s">
        <v>189</v>
      </c>
      <c r="C35" s="108" t="s">
        <v>232</v>
      </c>
      <c r="D35" s="108" t="s">
        <v>233</v>
      </c>
      <c r="E35" s="109"/>
      <c r="F35" s="109"/>
      <c r="G35" s="110" t="s">
        <v>250</v>
      </c>
      <c r="H35" s="110" t="s">
        <v>251</v>
      </c>
      <c r="I35" s="119" t="s">
        <v>242</v>
      </c>
      <c r="J35" s="119" t="s">
        <v>243</v>
      </c>
    </row>
    <row r="36" spans="2:10">
      <c r="C36" s="108" t="s">
        <v>190</v>
      </c>
      <c r="D36" s="108" t="s">
        <v>190</v>
      </c>
      <c r="E36" s="109" t="s">
        <v>190</v>
      </c>
      <c r="F36" s="109" t="s">
        <v>190</v>
      </c>
      <c r="G36" s="110" t="s">
        <v>191</v>
      </c>
      <c r="H36" s="110" t="s">
        <v>190</v>
      </c>
      <c r="I36" s="119" t="s">
        <v>190</v>
      </c>
      <c r="J36" s="119" t="s">
        <v>190</v>
      </c>
    </row>
    <row r="37" spans="2:10">
      <c r="C37" s="108" t="s">
        <v>192</v>
      </c>
      <c r="D37" s="108" t="s">
        <v>192</v>
      </c>
      <c r="E37" s="109" t="s">
        <v>192</v>
      </c>
      <c r="F37" s="109" t="s">
        <v>192</v>
      </c>
      <c r="G37" s="110" t="s">
        <v>192</v>
      </c>
      <c r="H37" s="110" t="s">
        <v>192</v>
      </c>
      <c r="I37" s="119" t="s">
        <v>192</v>
      </c>
      <c r="J37" s="119" t="s">
        <v>192</v>
      </c>
    </row>
    <row r="38" spans="2:10">
      <c r="C38" s="112" t="s">
        <v>12</v>
      </c>
      <c r="D38" s="113"/>
      <c r="E38" s="114" t="s">
        <v>15</v>
      </c>
      <c r="F38" s="115"/>
      <c r="G38" s="116" t="s">
        <v>14</v>
      </c>
      <c r="H38" s="117"/>
      <c r="I38" s="120" t="s">
        <v>13</v>
      </c>
      <c r="J38" s="119"/>
    </row>
    <row r="39" spans="2:10">
      <c r="B39" t="s">
        <v>181</v>
      </c>
      <c r="C39" s="49" t="s">
        <v>33</v>
      </c>
    </row>
    <row r="40" spans="2:10">
      <c r="C40" s="49" t="s">
        <v>34</v>
      </c>
    </row>
    <row r="41" spans="2:10">
      <c r="B41" s="105" t="s">
        <v>213</v>
      </c>
      <c r="C41" s="105" t="s">
        <v>214</v>
      </c>
      <c r="D41" s="105" t="s">
        <v>215</v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F11"/>
  <sheetViews>
    <sheetView workbookViewId="0">
      <selection activeCell="F12" sqref="F12"/>
    </sheetView>
  </sheetViews>
  <sheetFormatPr baseColWidth="10" defaultRowHeight="20"/>
  <cols>
    <col min="1" max="1" width="12.28515625" style="105" customWidth="1"/>
    <col min="2" max="5" width="6.140625" style="105" customWidth="1"/>
  </cols>
  <sheetData>
    <row r="1" spans="1:6">
      <c r="A1" s="16" t="s">
        <v>193</v>
      </c>
      <c r="B1" s="22">
        <v>4.0999999999999996</v>
      </c>
      <c r="C1" s="22">
        <v>1.4</v>
      </c>
      <c r="D1" s="22">
        <v>0.59</v>
      </c>
      <c r="E1" s="22">
        <v>0.18</v>
      </c>
    </row>
    <row r="2" spans="1:6">
      <c r="A2" s="16" t="s">
        <v>194</v>
      </c>
      <c r="B2" s="23">
        <v>1</v>
      </c>
      <c r="C2" s="23">
        <v>4</v>
      </c>
      <c r="D2" s="23">
        <v>16</v>
      </c>
      <c r="E2" s="23">
        <v>64</v>
      </c>
    </row>
    <row r="3" spans="1:6">
      <c r="A3" s="16" t="s">
        <v>195</v>
      </c>
      <c r="B3" s="24">
        <f>B1*B2</f>
        <v>4.0999999999999996</v>
      </c>
      <c r="C3" s="24">
        <f>C1*C2</f>
        <v>5.6</v>
      </c>
      <c r="D3" s="24">
        <f>D1*D2</f>
        <v>9.44</v>
      </c>
      <c r="E3" s="24">
        <f>E1*E2</f>
        <v>11.52</v>
      </c>
    </row>
    <row r="6" spans="1:6">
      <c r="A6" s="17">
        <v>0.86707449666846204</v>
      </c>
      <c r="B6">
        <f>A6/2</f>
        <v>0.43353724833423102</v>
      </c>
      <c r="C6" t="s">
        <v>196</v>
      </c>
      <c r="D6">
        <f>B6-A7/2</f>
        <v>7.1071680054795028E-3</v>
      </c>
      <c r="E6">
        <f>B6-D6</f>
        <v>0.42643008032875152</v>
      </c>
    </row>
    <row r="7" spans="1:6">
      <c r="A7">
        <v>0.85286016065750303</v>
      </c>
      <c r="C7" t="s">
        <v>197</v>
      </c>
      <c r="D7">
        <f>A7/2</f>
        <v>0.42643008032875152</v>
      </c>
    </row>
    <row r="9" spans="1:6">
      <c r="F9" s="17">
        <v>-0.39494859999999998</v>
      </c>
    </row>
    <row r="10" spans="1:6">
      <c r="F10" s="17">
        <v>5.6036170000000003E-2</v>
      </c>
    </row>
    <row r="11" spans="1:6">
      <c r="F11">
        <f>F9+F10</f>
        <v>-0.33891242999999999</v>
      </c>
    </row>
  </sheetData>
  <phoneticPr fontId="1"/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promptTitle="Value Selection" prompt="Select a value from the list" xr:uid="{00000000-0002-0000-0600-000000000000}">
          <x14:formula1>
            <xm:f>values!E3:N3</xm:f>
          </x14:formula1>
          <xm:sqref>B5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M16"/>
  <sheetViews>
    <sheetView topLeftCell="A3" workbookViewId="0">
      <selection activeCell="L6" sqref="L6:M6"/>
    </sheetView>
  </sheetViews>
  <sheetFormatPr baseColWidth="10" defaultRowHeight="20"/>
  <sheetData>
    <row r="1" spans="1:13">
      <c r="A1" t="s">
        <v>79</v>
      </c>
      <c r="B1">
        <v>0.3</v>
      </c>
      <c r="C1">
        <v>0.3</v>
      </c>
      <c r="D1">
        <v>0.3</v>
      </c>
    </row>
    <row r="2" spans="1:13">
      <c r="A2" t="s">
        <v>81</v>
      </c>
      <c r="B2">
        <v>0.15</v>
      </c>
      <c r="C2">
        <v>0.15</v>
      </c>
      <c r="D2">
        <v>0</v>
      </c>
    </row>
    <row r="6" spans="1:13">
      <c r="F6">
        <v>0.05</v>
      </c>
      <c r="G6">
        <f t="shared" ref="G6:M6" si="0">F6*1.5</f>
        <v>7.5000000000000011E-2</v>
      </c>
      <c r="H6">
        <f t="shared" si="0"/>
        <v>0.11250000000000002</v>
      </c>
      <c r="I6">
        <f t="shared" si="0"/>
        <v>0.16875000000000001</v>
      </c>
      <c r="J6">
        <f t="shared" si="0"/>
        <v>0.25312500000000004</v>
      </c>
      <c r="K6">
        <f t="shared" si="0"/>
        <v>0.37968750000000007</v>
      </c>
      <c r="L6">
        <f t="shared" si="0"/>
        <v>0.56953125000000004</v>
      </c>
      <c r="M6">
        <f t="shared" si="0"/>
        <v>0.85429687500000007</v>
      </c>
    </row>
    <row r="7" spans="1:13">
      <c r="F7">
        <v>0.05</v>
      </c>
      <c r="G7">
        <v>0.1</v>
      </c>
      <c r="H7">
        <v>0.2</v>
      </c>
      <c r="I7" s="48">
        <v>0.4</v>
      </c>
      <c r="J7">
        <v>0.8</v>
      </c>
    </row>
    <row r="8" spans="1:13">
      <c r="F8">
        <f>LOG(F7)</f>
        <v>-1.3010299956639813</v>
      </c>
      <c r="G8">
        <f>LOG(G7)</f>
        <v>-1</v>
      </c>
      <c r="H8">
        <f>LOG(H7)</f>
        <v>-0.69897000433601875</v>
      </c>
      <c r="I8">
        <f>LOG(I7)</f>
        <v>-0.3979400086720376</v>
      </c>
      <c r="J8">
        <f>LOG(J7)</f>
        <v>-9.6910013008056392E-2</v>
      </c>
    </row>
    <row r="11" spans="1:13">
      <c r="B11" s="17">
        <v>8.1214274845557405E-2</v>
      </c>
      <c r="C11" s="17">
        <v>-0.41575114000000002</v>
      </c>
    </row>
    <row r="12" spans="1:13">
      <c r="B12">
        <v>-3.2510334477649797E-2</v>
      </c>
      <c r="C12">
        <v>-0.90545282999999999</v>
      </c>
    </row>
    <row r="13" spans="1:13">
      <c r="B13">
        <f>B11^2+B12^2</f>
        <v>7.6526802865384035E-3</v>
      </c>
      <c r="C13">
        <f>C11^2+C12^2</f>
        <v>0.99269383776630848</v>
      </c>
    </row>
    <row r="15" spans="1:13">
      <c r="A15" t="s">
        <v>198</v>
      </c>
      <c r="B15" s="17">
        <v>1.08377550295785</v>
      </c>
    </row>
    <row r="16" spans="1:13">
      <c r="A16" t="s">
        <v>199</v>
      </c>
      <c r="B16">
        <f>B15^2</f>
        <v>1.1745693408115407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variables</vt:lpstr>
      <vt:lpstr>new2</vt:lpstr>
      <vt:lpstr>new</vt:lpstr>
      <vt:lpstr>param</vt:lpstr>
      <vt:lpstr>CEROS</vt:lpstr>
      <vt:lpstr>data_log</vt:lpstr>
      <vt:lpstr>values</vt:lpstr>
      <vt:lpstr>Sheet1</vt:lpstr>
      <vt:lpstr>inintial_vec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Stephanie Cook</cp:lastModifiedBy>
  <dcterms:created xsi:type="dcterms:W3CDTF">2020-11-11T02:12:54Z</dcterms:created>
  <dcterms:modified xsi:type="dcterms:W3CDTF">2025-04-08T12:54:02Z</dcterms:modified>
</cp:coreProperties>
</file>